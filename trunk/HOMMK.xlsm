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480" yWindow="105" windowWidth="8010" windowHeight="3825" tabRatio="379"/>
  </bookViews>
  <sheets>
    <sheet name="Ressources" sheetId="1" r:id="rId1"/>
    <sheet name="Synthèse" sheetId="3" r:id="rId2"/>
    <sheet name="Cartographie" sheetId="2" r:id="rId3"/>
    <sheet name="Recherche Mine" sheetId="5" r:id="rId4"/>
    <sheet name="Feuil1" sheetId="4" r:id="rId5"/>
  </sheets>
  <definedNames>
    <definedName name="_xlnm._FilterDatabase" localSheetId="3" hidden="1">'Recherche Mine'!$A$1:$J$1426</definedName>
    <definedName name="_xlnm._FilterDatabase" localSheetId="0" hidden="1">Ressources!$A$3:$B$3</definedName>
  </definedNames>
  <calcPr calcId="125725"/>
</workbook>
</file>

<file path=xl/calcChain.xml><?xml version="1.0" encoding="utf-8"?>
<calcChain xmlns="http://schemas.openxmlformats.org/spreadsheetml/2006/main">
  <c r="J3" i="5"/>
  <c r="J4"/>
  <c r="J5"/>
  <c r="J6"/>
  <c r="J7"/>
  <c r="J8"/>
  <c r="J9"/>
  <c r="J10"/>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J62"/>
  <c r="J63"/>
  <c r="J64"/>
  <c r="J65"/>
  <c r="J66"/>
  <c r="J67"/>
  <c r="J68"/>
  <c r="J69"/>
  <c r="J70"/>
  <c r="J71"/>
  <c r="J72"/>
  <c r="J73"/>
  <c r="J74"/>
  <c r="J75"/>
  <c r="J76"/>
  <c r="J77"/>
  <c r="J78"/>
  <c r="J79"/>
  <c r="J80"/>
  <c r="J81"/>
  <c r="J82"/>
  <c r="J83"/>
  <c r="J84"/>
  <c r="J85"/>
  <c r="J86"/>
  <c r="J87"/>
  <c r="J88"/>
  <c r="J89"/>
  <c r="J90"/>
  <c r="J91"/>
  <c r="J92"/>
  <c r="J93"/>
  <c r="J94"/>
  <c r="J95"/>
  <c r="J96"/>
  <c r="J97"/>
  <c r="J98"/>
  <c r="J99"/>
  <c r="J100"/>
  <c r="J101"/>
  <c r="J102"/>
  <c r="J103"/>
  <c r="J104"/>
  <c r="J105"/>
  <c r="J106"/>
  <c r="J107"/>
  <c r="J108"/>
  <c r="J109"/>
  <c r="J110"/>
  <c r="J111"/>
  <c r="J112"/>
  <c r="J113"/>
  <c r="J114"/>
  <c r="J115"/>
  <c r="J116"/>
  <c r="J117"/>
  <c r="J118"/>
  <c r="J119"/>
  <c r="J120"/>
  <c r="J121"/>
  <c r="J122"/>
  <c r="J123"/>
  <c r="J124"/>
  <c r="J125"/>
  <c r="J126"/>
  <c r="J127"/>
  <c r="J128"/>
  <c r="J129"/>
  <c r="J130"/>
  <c r="J131"/>
  <c r="J132"/>
  <c r="J133"/>
  <c r="J134"/>
  <c r="J135"/>
  <c r="J136"/>
  <c r="J137"/>
  <c r="J138"/>
  <c r="J139"/>
  <c r="J140"/>
  <c r="J141"/>
  <c r="J142"/>
  <c r="J143"/>
  <c r="J144"/>
  <c r="J145"/>
  <c r="J146"/>
  <c r="J147"/>
  <c r="J148"/>
  <c r="J149"/>
  <c r="J150"/>
  <c r="J151"/>
  <c r="J152"/>
  <c r="J153"/>
  <c r="J154"/>
  <c r="J155"/>
  <c r="J156"/>
  <c r="J157"/>
  <c r="J158"/>
  <c r="J159"/>
  <c r="J160"/>
  <c r="J161"/>
  <c r="J162"/>
  <c r="J163"/>
  <c r="J164"/>
  <c r="J165"/>
  <c r="J166"/>
  <c r="J167"/>
  <c r="J168"/>
  <c r="J169"/>
  <c r="J170"/>
  <c r="J171"/>
  <c r="J172"/>
  <c r="J173"/>
  <c r="J174"/>
  <c r="J175"/>
  <c r="J176"/>
  <c r="J177"/>
  <c r="J178"/>
  <c r="J179"/>
  <c r="J180"/>
  <c r="J181"/>
  <c r="J182"/>
  <c r="J183"/>
  <c r="J184"/>
  <c r="J185"/>
  <c r="J186"/>
  <c r="J187"/>
  <c r="J188"/>
  <c r="J189"/>
  <c r="J190"/>
  <c r="J191"/>
  <c r="J192"/>
  <c r="J193"/>
  <c r="J194"/>
  <c r="J195"/>
  <c r="J196"/>
  <c r="J197"/>
  <c r="J198"/>
  <c r="J199"/>
  <c r="J200"/>
  <c r="J201"/>
  <c r="J202"/>
  <c r="J203"/>
  <c r="J204"/>
  <c r="J205"/>
  <c r="J206"/>
  <c r="J207"/>
  <c r="J208"/>
  <c r="J209"/>
  <c r="J210"/>
  <c r="J211"/>
  <c r="J212"/>
  <c r="J213"/>
  <c r="J214"/>
  <c r="J215"/>
  <c r="J216"/>
  <c r="J217"/>
  <c r="J218"/>
  <c r="J219"/>
  <c r="J220"/>
  <c r="J221"/>
  <c r="J222"/>
  <c r="J223"/>
  <c r="J224"/>
  <c r="J225"/>
  <c r="J226"/>
  <c r="J227"/>
  <c r="J228"/>
  <c r="J229"/>
  <c r="J230"/>
  <c r="J231"/>
  <c r="J232"/>
  <c r="J233"/>
  <c r="J234"/>
  <c r="J235"/>
  <c r="J236"/>
  <c r="J237"/>
  <c r="J238"/>
  <c r="J239"/>
  <c r="J240"/>
  <c r="J241"/>
  <c r="J242"/>
  <c r="J243"/>
  <c r="J244"/>
  <c r="J245"/>
  <c r="J246"/>
  <c r="J247"/>
  <c r="J248"/>
  <c r="J249"/>
  <c r="J250"/>
  <c r="J251"/>
  <c r="J252"/>
  <c r="J253"/>
  <c r="J254"/>
  <c r="J255"/>
  <c r="J256"/>
  <c r="J257"/>
  <c r="J258"/>
  <c r="J259"/>
  <c r="J260"/>
  <c r="J261"/>
  <c r="J262"/>
  <c r="J263"/>
  <c r="J264"/>
  <c r="J265"/>
  <c r="J266"/>
  <c r="J267"/>
  <c r="J268"/>
  <c r="J269"/>
  <c r="J270"/>
  <c r="J271"/>
  <c r="J272"/>
  <c r="J273"/>
  <c r="J274"/>
  <c r="J275"/>
  <c r="J276"/>
  <c r="J277"/>
  <c r="J278"/>
  <c r="J279"/>
  <c r="J280"/>
  <c r="J281"/>
  <c r="J282"/>
  <c r="J283"/>
  <c r="J284"/>
  <c r="J285"/>
  <c r="J286"/>
  <c r="J287"/>
  <c r="J288"/>
  <c r="J289"/>
  <c r="J290"/>
  <c r="J291"/>
  <c r="J292"/>
  <c r="J293"/>
  <c r="J294"/>
  <c r="J295"/>
  <c r="J296"/>
  <c r="J297"/>
  <c r="J298"/>
  <c r="J299"/>
  <c r="J300"/>
  <c r="J301"/>
  <c r="J302"/>
  <c r="J303"/>
  <c r="J304"/>
  <c r="J305"/>
  <c r="J306"/>
  <c r="J307"/>
  <c r="J308"/>
  <c r="J309"/>
  <c r="J310"/>
  <c r="J311"/>
  <c r="J312"/>
  <c r="J313"/>
  <c r="J314"/>
  <c r="J315"/>
  <c r="J316"/>
  <c r="J317"/>
  <c r="J318"/>
  <c r="J319"/>
  <c r="J320"/>
  <c r="J321"/>
  <c r="J322"/>
  <c r="J323"/>
  <c r="J324"/>
  <c r="J325"/>
  <c r="J326"/>
  <c r="J327"/>
  <c r="J328"/>
  <c r="J329"/>
  <c r="J330"/>
  <c r="J331"/>
  <c r="J332"/>
  <c r="J333"/>
  <c r="J334"/>
  <c r="J335"/>
  <c r="J336"/>
  <c r="J337"/>
  <c r="J338"/>
  <c r="J339"/>
  <c r="J340"/>
  <c r="J341"/>
  <c r="J342"/>
  <c r="J343"/>
  <c r="J344"/>
  <c r="J345"/>
  <c r="J346"/>
  <c r="J347"/>
  <c r="J348"/>
  <c r="J349"/>
  <c r="J350"/>
  <c r="J351"/>
  <c r="J352"/>
  <c r="J353"/>
  <c r="J354"/>
  <c r="J355"/>
  <c r="J356"/>
  <c r="J357"/>
  <c r="J358"/>
  <c r="J359"/>
  <c r="J360"/>
  <c r="J361"/>
  <c r="J362"/>
  <c r="J363"/>
  <c r="J364"/>
  <c r="J365"/>
  <c r="J366"/>
  <c r="J367"/>
  <c r="J368"/>
  <c r="J369"/>
  <c r="J370"/>
  <c r="J371"/>
  <c r="J372"/>
  <c r="J373"/>
  <c r="J374"/>
  <c r="J375"/>
  <c r="J376"/>
  <c r="J377"/>
  <c r="J378"/>
  <c r="J379"/>
  <c r="J380"/>
  <c r="J381"/>
  <c r="J382"/>
  <c r="J383"/>
  <c r="J384"/>
  <c r="J385"/>
  <c r="J386"/>
  <c r="J387"/>
  <c r="J388"/>
  <c r="J389"/>
  <c r="J390"/>
  <c r="J391"/>
  <c r="J392"/>
  <c r="J393"/>
  <c r="J394"/>
  <c r="J395"/>
  <c r="J396"/>
  <c r="J397"/>
  <c r="J398"/>
  <c r="J399"/>
  <c r="J400"/>
  <c r="J401"/>
  <c r="J402"/>
  <c r="J403"/>
  <c r="J404"/>
  <c r="J405"/>
  <c r="J406"/>
  <c r="J407"/>
  <c r="J408"/>
  <c r="J409"/>
  <c r="J410"/>
  <c r="J411"/>
  <c r="J412"/>
  <c r="J413"/>
  <c r="J414"/>
  <c r="J415"/>
  <c r="J416"/>
  <c r="J417"/>
  <c r="J418"/>
  <c r="J419"/>
  <c r="J420"/>
  <c r="J421"/>
  <c r="J422"/>
  <c r="J423"/>
  <c r="J424"/>
  <c r="J425"/>
  <c r="J426"/>
  <c r="J427"/>
  <c r="J428"/>
  <c r="J429"/>
  <c r="J430"/>
  <c r="J431"/>
  <c r="J432"/>
  <c r="J433"/>
  <c r="J434"/>
  <c r="J435"/>
  <c r="J436"/>
  <c r="J437"/>
  <c r="J438"/>
  <c r="J439"/>
  <c r="J440"/>
  <c r="J441"/>
  <c r="J442"/>
  <c r="J443"/>
  <c r="J444"/>
  <c r="J445"/>
  <c r="J446"/>
  <c r="J447"/>
  <c r="J448"/>
  <c r="J449"/>
  <c r="J450"/>
  <c r="J451"/>
  <c r="J452"/>
  <c r="J453"/>
  <c r="J454"/>
  <c r="J455"/>
  <c r="J456"/>
  <c r="J457"/>
  <c r="J458"/>
  <c r="J459"/>
  <c r="J460"/>
  <c r="J461"/>
  <c r="J462"/>
  <c r="J463"/>
  <c r="J464"/>
  <c r="J465"/>
  <c r="J466"/>
  <c r="J467"/>
  <c r="J468"/>
  <c r="J469"/>
  <c r="J470"/>
  <c r="J471"/>
  <c r="J472"/>
  <c r="J473"/>
  <c r="J474"/>
  <c r="J475"/>
  <c r="J476"/>
  <c r="J477"/>
  <c r="J478"/>
  <c r="J479"/>
  <c r="J480"/>
  <c r="J481"/>
  <c r="J482"/>
  <c r="J483"/>
  <c r="J484"/>
  <c r="J485"/>
  <c r="J486"/>
  <c r="J487"/>
  <c r="J488"/>
  <c r="J489"/>
  <c r="J490"/>
  <c r="J491"/>
  <c r="J492"/>
  <c r="J493"/>
  <c r="J494"/>
  <c r="J495"/>
  <c r="J496"/>
  <c r="J497"/>
  <c r="J498"/>
  <c r="J499"/>
  <c r="J500"/>
  <c r="J501"/>
  <c r="J502"/>
  <c r="J503"/>
  <c r="J504"/>
  <c r="J505"/>
  <c r="J506"/>
  <c r="J507"/>
  <c r="J508"/>
  <c r="J509"/>
  <c r="J510"/>
  <c r="J511"/>
  <c r="J512"/>
  <c r="J513"/>
  <c r="J514"/>
  <c r="J515"/>
  <c r="J516"/>
  <c r="J517"/>
  <c r="J518"/>
  <c r="J519"/>
  <c r="J520"/>
  <c r="J521"/>
  <c r="J522"/>
  <c r="J523"/>
  <c r="J524"/>
  <c r="J525"/>
  <c r="J526"/>
  <c r="J527"/>
  <c r="J528"/>
  <c r="J529"/>
  <c r="J530"/>
  <c r="J531"/>
  <c r="J532"/>
  <c r="J533"/>
  <c r="J534"/>
  <c r="J535"/>
  <c r="J536"/>
  <c r="J537"/>
  <c r="J538"/>
  <c r="J539"/>
  <c r="J540"/>
  <c r="J541"/>
  <c r="J542"/>
  <c r="J543"/>
  <c r="J544"/>
  <c r="J545"/>
  <c r="J546"/>
  <c r="J547"/>
  <c r="J548"/>
  <c r="J549"/>
  <c r="J550"/>
  <c r="J551"/>
  <c r="J552"/>
  <c r="J553"/>
  <c r="J554"/>
  <c r="J555"/>
  <c r="J556"/>
  <c r="J557"/>
  <c r="J558"/>
  <c r="J559"/>
  <c r="J560"/>
  <c r="J561"/>
  <c r="J562"/>
  <c r="J563"/>
  <c r="J564"/>
  <c r="J565"/>
  <c r="J566"/>
  <c r="J567"/>
  <c r="J568"/>
  <c r="J569"/>
  <c r="J570"/>
  <c r="J571"/>
  <c r="J572"/>
  <c r="J573"/>
  <c r="J574"/>
  <c r="J575"/>
  <c r="J576"/>
  <c r="J577"/>
  <c r="J578"/>
  <c r="J579"/>
  <c r="J580"/>
  <c r="J581"/>
  <c r="J582"/>
  <c r="J583"/>
  <c r="J584"/>
  <c r="J585"/>
  <c r="J586"/>
  <c r="J587"/>
  <c r="J588"/>
  <c r="J589"/>
  <c r="J590"/>
  <c r="J591"/>
  <c r="J592"/>
  <c r="J593"/>
  <c r="J594"/>
  <c r="J595"/>
  <c r="J596"/>
  <c r="J597"/>
  <c r="J598"/>
  <c r="J599"/>
  <c r="J600"/>
  <c r="J601"/>
  <c r="J602"/>
  <c r="J603"/>
  <c r="J604"/>
  <c r="J605"/>
  <c r="J606"/>
  <c r="J607"/>
  <c r="J608"/>
  <c r="J609"/>
  <c r="J610"/>
  <c r="J611"/>
  <c r="J612"/>
  <c r="J613"/>
  <c r="J614"/>
  <c r="J615"/>
  <c r="J616"/>
  <c r="J617"/>
  <c r="J618"/>
  <c r="J619"/>
  <c r="J620"/>
  <c r="J621"/>
  <c r="J622"/>
  <c r="J623"/>
  <c r="J624"/>
  <c r="J625"/>
  <c r="J626"/>
  <c r="J627"/>
  <c r="J628"/>
  <c r="J629"/>
  <c r="J630"/>
  <c r="J631"/>
  <c r="J632"/>
  <c r="J633"/>
  <c r="J634"/>
  <c r="J635"/>
  <c r="J636"/>
  <c r="J637"/>
  <c r="J638"/>
  <c r="J639"/>
  <c r="J640"/>
  <c r="J641"/>
  <c r="J642"/>
  <c r="J643"/>
  <c r="J644"/>
  <c r="J645"/>
  <c r="J646"/>
  <c r="J647"/>
  <c r="J648"/>
  <c r="J649"/>
  <c r="J650"/>
  <c r="J651"/>
  <c r="J652"/>
  <c r="J653"/>
  <c r="J654"/>
  <c r="J655"/>
  <c r="J656"/>
  <c r="J657"/>
  <c r="J658"/>
  <c r="J659"/>
  <c r="J660"/>
  <c r="J661"/>
  <c r="J662"/>
  <c r="J663"/>
  <c r="J664"/>
  <c r="J665"/>
  <c r="J666"/>
  <c r="J667"/>
  <c r="J668"/>
  <c r="J669"/>
  <c r="J670"/>
  <c r="J671"/>
  <c r="J672"/>
  <c r="J673"/>
  <c r="J674"/>
  <c r="J675"/>
  <c r="J676"/>
  <c r="J677"/>
  <c r="J678"/>
  <c r="J679"/>
  <c r="J680"/>
  <c r="J681"/>
  <c r="J682"/>
  <c r="J683"/>
  <c r="J684"/>
  <c r="J685"/>
  <c r="J686"/>
  <c r="J687"/>
  <c r="J688"/>
  <c r="J689"/>
  <c r="J690"/>
  <c r="J691"/>
  <c r="J692"/>
  <c r="J693"/>
  <c r="J694"/>
  <c r="J695"/>
  <c r="J696"/>
  <c r="J697"/>
  <c r="J698"/>
  <c r="J699"/>
  <c r="J700"/>
  <c r="J701"/>
  <c r="J702"/>
  <c r="J703"/>
  <c r="J704"/>
  <c r="J705"/>
  <c r="J706"/>
  <c r="J707"/>
  <c r="J708"/>
  <c r="J709"/>
  <c r="J710"/>
  <c r="J711"/>
  <c r="J712"/>
  <c r="J713"/>
  <c r="J714"/>
  <c r="J715"/>
  <c r="J716"/>
  <c r="J717"/>
  <c r="J718"/>
  <c r="J719"/>
  <c r="J720"/>
  <c r="J721"/>
  <c r="J722"/>
  <c r="J723"/>
  <c r="J724"/>
  <c r="J725"/>
  <c r="J726"/>
  <c r="J727"/>
  <c r="J728"/>
  <c r="J729"/>
  <c r="J730"/>
  <c r="J731"/>
  <c r="J732"/>
  <c r="J733"/>
  <c r="J734"/>
  <c r="J735"/>
  <c r="J736"/>
  <c r="J737"/>
  <c r="J738"/>
  <c r="J739"/>
  <c r="J740"/>
  <c r="J741"/>
  <c r="J742"/>
  <c r="J743"/>
  <c r="J744"/>
  <c r="J745"/>
  <c r="J746"/>
  <c r="J747"/>
  <c r="J748"/>
  <c r="J749"/>
  <c r="J750"/>
  <c r="J751"/>
  <c r="J752"/>
  <c r="J753"/>
  <c r="J754"/>
  <c r="J755"/>
  <c r="J756"/>
  <c r="J757"/>
  <c r="J758"/>
  <c r="J759"/>
  <c r="J760"/>
  <c r="J761"/>
  <c r="J762"/>
  <c r="J763"/>
  <c r="J764"/>
  <c r="J765"/>
  <c r="J766"/>
  <c r="J767"/>
  <c r="J768"/>
  <c r="J769"/>
  <c r="J770"/>
  <c r="J771"/>
  <c r="J772"/>
  <c r="J773"/>
  <c r="J774"/>
  <c r="J775"/>
  <c r="J776"/>
  <c r="J777"/>
  <c r="J778"/>
  <c r="J779"/>
  <c r="J780"/>
  <c r="J781"/>
  <c r="J782"/>
  <c r="J783"/>
  <c r="J784"/>
  <c r="J785"/>
  <c r="J786"/>
  <c r="J787"/>
  <c r="J788"/>
  <c r="J789"/>
  <c r="J790"/>
  <c r="J791"/>
  <c r="J792"/>
  <c r="J793"/>
  <c r="J794"/>
  <c r="J795"/>
  <c r="J796"/>
  <c r="J797"/>
  <c r="J798"/>
  <c r="J799"/>
  <c r="J800"/>
  <c r="J801"/>
  <c r="J802"/>
  <c r="J803"/>
  <c r="J804"/>
  <c r="J805"/>
  <c r="J806"/>
  <c r="J807"/>
  <c r="J808"/>
  <c r="J809"/>
  <c r="J810"/>
  <c r="J811"/>
  <c r="J812"/>
  <c r="J813"/>
  <c r="J814"/>
  <c r="J815"/>
  <c r="J816"/>
  <c r="J817"/>
  <c r="J818"/>
  <c r="J819"/>
  <c r="J820"/>
  <c r="J821"/>
  <c r="J822"/>
  <c r="J823"/>
  <c r="J824"/>
  <c r="J825"/>
  <c r="J826"/>
  <c r="J827"/>
  <c r="J828"/>
  <c r="J829"/>
  <c r="J830"/>
  <c r="J831"/>
  <c r="J832"/>
  <c r="J833"/>
  <c r="J834"/>
  <c r="J835"/>
  <c r="J836"/>
  <c r="J837"/>
  <c r="J838"/>
  <c r="J839"/>
  <c r="J840"/>
  <c r="J841"/>
  <c r="J842"/>
  <c r="J843"/>
  <c r="J844"/>
  <c r="J845"/>
  <c r="J846"/>
  <c r="J847"/>
  <c r="J848"/>
  <c r="J849"/>
  <c r="J850"/>
  <c r="J851"/>
  <c r="J852"/>
  <c r="J853"/>
  <c r="J854"/>
  <c r="J855"/>
  <c r="J856"/>
  <c r="J857"/>
  <c r="J858"/>
  <c r="J859"/>
  <c r="J860"/>
  <c r="J861"/>
  <c r="J862"/>
  <c r="J863"/>
  <c r="J864"/>
  <c r="J865"/>
  <c r="J866"/>
  <c r="J867"/>
  <c r="J868"/>
  <c r="J869"/>
  <c r="J870"/>
  <c r="J871"/>
  <c r="J872"/>
  <c r="J873"/>
  <c r="J874"/>
  <c r="J875"/>
  <c r="J876"/>
  <c r="J877"/>
  <c r="J878"/>
  <c r="J879"/>
  <c r="J880"/>
  <c r="J881"/>
  <c r="J882"/>
  <c r="J883"/>
  <c r="J884"/>
  <c r="J885"/>
  <c r="J886"/>
  <c r="J887"/>
  <c r="J888"/>
  <c r="J889"/>
  <c r="J890"/>
  <c r="J891"/>
  <c r="J892"/>
  <c r="J893"/>
  <c r="J894"/>
  <c r="J895"/>
  <c r="J896"/>
  <c r="J897"/>
  <c r="J898"/>
  <c r="J899"/>
  <c r="J900"/>
  <c r="J901"/>
  <c r="J902"/>
  <c r="J903"/>
  <c r="J904"/>
  <c r="J905"/>
  <c r="J906"/>
  <c r="J907"/>
  <c r="J908"/>
  <c r="J909"/>
  <c r="J910"/>
  <c r="J911"/>
  <c r="J912"/>
  <c r="J913"/>
  <c r="J914"/>
  <c r="J915"/>
  <c r="J916"/>
  <c r="J917"/>
  <c r="J918"/>
  <c r="J919"/>
  <c r="J920"/>
  <c r="J921"/>
  <c r="J922"/>
  <c r="J923"/>
  <c r="J924"/>
  <c r="J925"/>
  <c r="J926"/>
  <c r="J927"/>
  <c r="J928"/>
  <c r="J929"/>
  <c r="J930"/>
  <c r="J931"/>
  <c r="J932"/>
  <c r="J933"/>
  <c r="J934"/>
  <c r="J935"/>
  <c r="J936"/>
  <c r="J937"/>
  <c r="J938"/>
  <c r="J939"/>
  <c r="J940"/>
  <c r="J941"/>
  <c r="J942"/>
  <c r="J943"/>
  <c r="J944"/>
  <c r="J945"/>
  <c r="J946"/>
  <c r="J947"/>
  <c r="J948"/>
  <c r="J949"/>
  <c r="J950"/>
  <c r="J951"/>
  <c r="J952"/>
  <c r="J953"/>
  <c r="J954"/>
  <c r="J955"/>
  <c r="J956"/>
  <c r="J957"/>
  <c r="J958"/>
  <c r="J959"/>
  <c r="J960"/>
  <c r="J961"/>
  <c r="J962"/>
  <c r="J963"/>
  <c r="J964"/>
  <c r="J965"/>
  <c r="J966"/>
  <c r="J967"/>
  <c r="J968"/>
  <c r="J969"/>
  <c r="J970"/>
  <c r="J971"/>
  <c r="J972"/>
  <c r="J973"/>
  <c r="J974"/>
  <c r="J975"/>
  <c r="J976"/>
  <c r="J977"/>
  <c r="J978"/>
  <c r="J979"/>
  <c r="J980"/>
  <c r="J981"/>
  <c r="J982"/>
  <c r="J983"/>
  <c r="J984"/>
  <c r="J985"/>
  <c r="J986"/>
  <c r="J987"/>
  <c r="J988"/>
  <c r="J989"/>
  <c r="J990"/>
  <c r="J991"/>
  <c r="J992"/>
  <c r="J993"/>
  <c r="J994"/>
  <c r="J995"/>
  <c r="J996"/>
  <c r="J997"/>
  <c r="J998"/>
  <c r="J999"/>
  <c r="J1000"/>
  <c r="J1001"/>
  <c r="J1002"/>
  <c r="J1003"/>
  <c r="J1004"/>
  <c r="J1005"/>
  <c r="J1006"/>
  <c r="J1007"/>
  <c r="J1008"/>
  <c r="J1009"/>
  <c r="J1010"/>
  <c r="J1011"/>
  <c r="J1012"/>
  <c r="J1013"/>
  <c r="J1014"/>
  <c r="J1015"/>
  <c r="J1016"/>
  <c r="J1017"/>
  <c r="J1018"/>
  <c r="J1019"/>
  <c r="J1020"/>
  <c r="J1021"/>
  <c r="J1022"/>
  <c r="J1023"/>
  <c r="J1024"/>
  <c r="J1025"/>
  <c r="J1026"/>
  <c r="J1027"/>
  <c r="J1028"/>
  <c r="J1029"/>
  <c r="J1030"/>
  <c r="J1031"/>
  <c r="J1032"/>
  <c r="J1033"/>
  <c r="J1034"/>
  <c r="J1035"/>
  <c r="J1036"/>
  <c r="J1037"/>
  <c r="J1038"/>
  <c r="J1039"/>
  <c r="J1040"/>
  <c r="J1041"/>
  <c r="J1042"/>
  <c r="J1043"/>
  <c r="J1044"/>
  <c r="J1045"/>
  <c r="J1046"/>
  <c r="J1047"/>
  <c r="J1048"/>
  <c r="J1049"/>
  <c r="J1050"/>
  <c r="J1051"/>
  <c r="J1052"/>
  <c r="J1053"/>
  <c r="J1054"/>
  <c r="J1055"/>
  <c r="J1056"/>
  <c r="J1057"/>
  <c r="J1058"/>
  <c r="J1059"/>
  <c r="J1060"/>
  <c r="J1061"/>
  <c r="J1062"/>
  <c r="J1063"/>
  <c r="J1064"/>
  <c r="J1065"/>
  <c r="J1066"/>
  <c r="J1067"/>
  <c r="J1068"/>
  <c r="J1069"/>
  <c r="J1070"/>
  <c r="J1071"/>
  <c r="J1072"/>
  <c r="J1073"/>
  <c r="J1074"/>
  <c r="J1075"/>
  <c r="J1076"/>
  <c r="J1077"/>
  <c r="J1078"/>
  <c r="J1079"/>
  <c r="J1080"/>
  <c r="J1081"/>
  <c r="J1082"/>
  <c r="J1083"/>
  <c r="J1084"/>
  <c r="J1085"/>
  <c r="J1086"/>
  <c r="J1087"/>
  <c r="J1088"/>
  <c r="J1089"/>
  <c r="J1090"/>
  <c r="J1091"/>
  <c r="J1092"/>
  <c r="J1093"/>
  <c r="J1094"/>
  <c r="J1095"/>
  <c r="J1096"/>
  <c r="J1097"/>
  <c r="J1098"/>
  <c r="J1099"/>
  <c r="J1100"/>
  <c r="J1101"/>
  <c r="J1102"/>
  <c r="J1103"/>
  <c r="J1104"/>
  <c r="J1105"/>
  <c r="J1106"/>
  <c r="J1107"/>
  <c r="J1108"/>
  <c r="J1109"/>
  <c r="J1110"/>
  <c r="J1111"/>
  <c r="J1112"/>
  <c r="J1113"/>
  <c r="J1114"/>
  <c r="J1115"/>
  <c r="J1116"/>
  <c r="J1117"/>
  <c r="J1118"/>
  <c r="J1119"/>
  <c r="J1120"/>
  <c r="J1121"/>
  <c r="J1122"/>
  <c r="J1123"/>
  <c r="J1124"/>
  <c r="J1125"/>
  <c r="J1126"/>
  <c r="J1127"/>
  <c r="J1128"/>
  <c r="J1129"/>
  <c r="J1130"/>
  <c r="J1131"/>
  <c r="J1132"/>
  <c r="J1133"/>
  <c r="J1134"/>
  <c r="J1135"/>
  <c r="J1136"/>
  <c r="J1137"/>
  <c r="J1138"/>
  <c r="J1139"/>
  <c r="J1140"/>
  <c r="J1141"/>
  <c r="J1142"/>
  <c r="J1143"/>
  <c r="J1144"/>
  <c r="J1145"/>
  <c r="J1146"/>
  <c r="J1147"/>
  <c r="J1148"/>
  <c r="J1149"/>
  <c r="J1150"/>
  <c r="J1151"/>
  <c r="J1152"/>
  <c r="J1153"/>
  <c r="J1154"/>
  <c r="J1155"/>
  <c r="J1156"/>
  <c r="J1157"/>
  <c r="J1158"/>
  <c r="J1159"/>
  <c r="J1160"/>
  <c r="J1161"/>
  <c r="J1162"/>
  <c r="J1163"/>
  <c r="J1164"/>
  <c r="J1165"/>
  <c r="J1166"/>
  <c r="J1167"/>
  <c r="J1168"/>
  <c r="J1169"/>
  <c r="J1170"/>
  <c r="J1171"/>
  <c r="J1172"/>
  <c r="J1173"/>
  <c r="J1174"/>
  <c r="J1175"/>
  <c r="J1176"/>
  <c r="J1177"/>
  <c r="J1178"/>
  <c r="J1179"/>
  <c r="J1180"/>
  <c r="J1181"/>
  <c r="J1182"/>
  <c r="J1183"/>
  <c r="J1184"/>
  <c r="J1185"/>
  <c r="J1186"/>
  <c r="J1187"/>
  <c r="J1188"/>
  <c r="J1189"/>
  <c r="J1190"/>
  <c r="J1191"/>
  <c r="J1192"/>
  <c r="J1193"/>
  <c r="J1194"/>
  <c r="J1195"/>
  <c r="J1196"/>
  <c r="J1197"/>
  <c r="J1198"/>
  <c r="J1199"/>
  <c r="J1200"/>
  <c r="J1201"/>
  <c r="J1202"/>
  <c r="J1203"/>
  <c r="J1204"/>
  <c r="J1205"/>
  <c r="J1206"/>
  <c r="J1207"/>
  <c r="J1208"/>
  <c r="J1209"/>
  <c r="J1210"/>
  <c r="J1211"/>
  <c r="J1212"/>
  <c r="J1213"/>
  <c r="J1214"/>
  <c r="J1215"/>
  <c r="J1216"/>
  <c r="J1217"/>
  <c r="J1218"/>
  <c r="J1219"/>
  <c r="J1220"/>
  <c r="J1221"/>
  <c r="J1222"/>
  <c r="J1223"/>
  <c r="J1224"/>
  <c r="J1225"/>
  <c r="J1226"/>
  <c r="J1227"/>
  <c r="J1228"/>
  <c r="J1229"/>
  <c r="J1230"/>
  <c r="J1231"/>
  <c r="J1232"/>
  <c r="J1233"/>
  <c r="J1234"/>
  <c r="J1235"/>
  <c r="J1236"/>
  <c r="J1237"/>
  <c r="J1238"/>
  <c r="J1239"/>
  <c r="J1240"/>
  <c r="J1241"/>
  <c r="J1242"/>
  <c r="J1243"/>
  <c r="J1244"/>
  <c r="J1245"/>
  <c r="J1246"/>
  <c r="J1247"/>
  <c r="J1248"/>
  <c r="J1249"/>
  <c r="J1250"/>
  <c r="J1251"/>
  <c r="J1252"/>
  <c r="J1253"/>
  <c r="J1254"/>
  <c r="J1255"/>
  <c r="J1256"/>
  <c r="J1257"/>
  <c r="J1258"/>
  <c r="J1259"/>
  <c r="J1260"/>
  <c r="J1261"/>
  <c r="J1262"/>
  <c r="J1263"/>
  <c r="J1264"/>
  <c r="J1265"/>
  <c r="J1266"/>
  <c r="J1267"/>
  <c r="J1268"/>
  <c r="J1269"/>
  <c r="J1270"/>
  <c r="J1271"/>
  <c r="J1272"/>
  <c r="J1273"/>
  <c r="J1274"/>
  <c r="J1275"/>
  <c r="J1276"/>
  <c r="J1277"/>
  <c r="J1278"/>
  <c r="J1279"/>
  <c r="J1280"/>
  <c r="J1281"/>
  <c r="J1282"/>
  <c r="J1283"/>
  <c r="J1284"/>
  <c r="J1285"/>
  <c r="J1286"/>
  <c r="J1287"/>
  <c r="J1288"/>
  <c r="J1289"/>
  <c r="J1290"/>
  <c r="J1291"/>
  <c r="J1292"/>
  <c r="J1293"/>
  <c r="J1294"/>
  <c r="J1295"/>
  <c r="J1296"/>
  <c r="J1297"/>
  <c r="J1298"/>
  <c r="J1299"/>
  <c r="J1300"/>
  <c r="J1301"/>
  <c r="J1302"/>
  <c r="J1303"/>
  <c r="J1304"/>
  <c r="J1305"/>
  <c r="J1306"/>
  <c r="J1307"/>
  <c r="J1308"/>
  <c r="J1309"/>
  <c r="J1310"/>
  <c r="J1311"/>
  <c r="J1312"/>
  <c r="J1313"/>
  <c r="J1314"/>
  <c r="J1315"/>
  <c r="J1316"/>
  <c r="J1317"/>
  <c r="J1318"/>
  <c r="J1319"/>
  <c r="J1320"/>
  <c r="J1321"/>
  <c r="J1322"/>
  <c r="J1323"/>
  <c r="J1324"/>
  <c r="J1325"/>
  <c r="J1326"/>
  <c r="J1327"/>
  <c r="J1328"/>
  <c r="J1329"/>
  <c r="J1330"/>
  <c r="J1331"/>
  <c r="J1332"/>
  <c r="J1333"/>
  <c r="J1334"/>
  <c r="J1335"/>
  <c r="J1336"/>
  <c r="J1337"/>
  <c r="J1338"/>
  <c r="J1339"/>
  <c r="J1340"/>
  <c r="J1341"/>
  <c r="J1342"/>
  <c r="J1343"/>
  <c r="J1344"/>
  <c r="J1345"/>
  <c r="J1346"/>
  <c r="J1347"/>
  <c r="J1348"/>
  <c r="J1349"/>
  <c r="J1350"/>
  <c r="J1351"/>
  <c r="J2"/>
  <c r="A7" i="2"/>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
  <c r="G1"/>
  <c r="G19" i="3" s="1"/>
  <c r="H1" i="2"/>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F1"/>
  <c r="H19" i="3"/>
  <c r="P20"/>
  <c r="F2" i="1"/>
  <c r="P18" i="3"/>
  <c r="Y3" i="1"/>
  <c r="U18" i="3"/>
  <c r="U20" s="1"/>
  <c r="R18"/>
  <c r="R20" s="1"/>
  <c r="S18"/>
  <c r="S20" s="1"/>
  <c r="T18"/>
  <c r="T20" s="1"/>
  <c r="V18"/>
  <c r="V20" s="1"/>
  <c r="Q18"/>
  <c r="Q20" s="1"/>
  <c r="I9" i="1"/>
  <c r="X5"/>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0"/>
  <c r="X61"/>
  <c r="X4"/>
  <c r="AC5"/>
  <c r="AC6"/>
  <c r="AC7"/>
  <c r="AC8"/>
  <c r="AC9"/>
  <c r="AC10"/>
  <c r="AC11"/>
  <c r="AC12"/>
  <c r="AC13"/>
  <c r="AC14"/>
  <c r="AC15"/>
  <c r="AC16"/>
  <c r="AC17"/>
  <c r="AC18"/>
  <c r="AC19"/>
  <c r="AC20"/>
  <c r="AC21"/>
  <c r="AC22"/>
  <c r="AC23"/>
  <c r="AC24"/>
  <c r="AC25"/>
  <c r="AC26"/>
  <c r="AC27"/>
  <c r="AC28"/>
  <c r="AC29"/>
  <c r="AC30"/>
  <c r="AC31"/>
  <c r="AC32"/>
  <c r="AC33"/>
  <c r="AC34"/>
  <c r="AC35"/>
  <c r="AC36"/>
  <c r="AC37"/>
  <c r="AC38"/>
  <c r="AC39"/>
  <c r="AC40"/>
  <c r="AC41"/>
  <c r="AC42"/>
  <c r="AC43"/>
  <c r="AC44"/>
  <c r="AC45"/>
  <c r="AC46"/>
  <c r="AC47"/>
  <c r="AC48"/>
  <c r="AC49"/>
  <c r="AC50"/>
  <c r="AC51"/>
  <c r="AC52"/>
  <c r="AC53"/>
  <c r="AC54"/>
  <c r="AC55"/>
  <c r="AC56"/>
  <c r="AC57"/>
  <c r="AC58"/>
  <c r="AC59"/>
  <c r="AC60"/>
  <c r="AC61"/>
  <c r="AC4"/>
  <c r="AM5"/>
  <c r="AM6"/>
  <c r="AM7"/>
  <c r="AM8"/>
  <c r="AM9"/>
  <c r="AM10"/>
  <c r="AM11"/>
  <c r="AM12"/>
  <c r="AM13"/>
  <c r="AM14"/>
  <c r="AM15"/>
  <c r="AM16"/>
  <c r="AM17"/>
  <c r="AM18"/>
  <c r="AM19"/>
  <c r="AM20"/>
  <c r="AM21"/>
  <c r="AM22"/>
  <c r="AM23"/>
  <c r="AM24"/>
  <c r="AM25"/>
  <c r="AM26"/>
  <c r="AM27"/>
  <c r="AM28"/>
  <c r="AM29"/>
  <c r="AM30"/>
  <c r="AM31"/>
  <c r="AM32"/>
  <c r="AM33"/>
  <c r="AM34"/>
  <c r="AM35"/>
  <c r="AM36"/>
  <c r="AM37"/>
  <c r="AM38"/>
  <c r="AM39"/>
  <c r="AM40"/>
  <c r="AM41"/>
  <c r="AM42"/>
  <c r="AM43"/>
  <c r="AM44"/>
  <c r="AM45"/>
  <c r="AM46"/>
  <c r="AM47"/>
  <c r="AM48"/>
  <c r="AM49"/>
  <c r="AM50"/>
  <c r="AM51"/>
  <c r="AM52"/>
  <c r="AM53"/>
  <c r="AM54"/>
  <c r="AM55"/>
  <c r="AM56"/>
  <c r="AM57"/>
  <c r="AM58"/>
  <c r="AM59"/>
  <c r="AM60"/>
  <c r="AM61"/>
  <c r="AM4"/>
  <c r="AH5"/>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4"/>
  <c r="N4"/>
  <c r="S61"/>
  <c r="S60"/>
  <c r="S59"/>
  <c r="S58"/>
  <c r="S57"/>
  <c r="S56"/>
  <c r="S55"/>
  <c r="S54"/>
  <c r="S53"/>
  <c r="S52"/>
  <c r="S51"/>
  <c r="S50"/>
  <c r="S49"/>
  <c r="S48"/>
  <c r="S47"/>
  <c r="S46"/>
  <c r="S45"/>
  <c r="S44"/>
  <c r="S43"/>
  <c r="S42"/>
  <c r="S41"/>
  <c r="S40"/>
  <c r="S39"/>
  <c r="S38"/>
  <c r="S37"/>
  <c r="S36"/>
  <c r="S35"/>
  <c r="S34"/>
  <c r="S33"/>
  <c r="S32"/>
  <c r="S31"/>
  <c r="S30"/>
  <c r="S29"/>
  <c r="S28"/>
  <c r="S27"/>
  <c r="S26"/>
  <c r="S25"/>
  <c r="S24"/>
  <c r="S23"/>
  <c r="S22"/>
  <c r="S21"/>
  <c r="S20"/>
  <c r="S19"/>
  <c r="S18"/>
  <c r="S17"/>
  <c r="S16"/>
  <c r="S15"/>
  <c r="S14"/>
  <c r="S13"/>
  <c r="S12"/>
  <c r="S11"/>
  <c r="S10"/>
  <c r="S9"/>
  <c r="S8"/>
  <c r="S7"/>
  <c r="S6"/>
  <c r="S5"/>
  <c r="S4"/>
  <c r="N61"/>
  <c r="N60"/>
  <c r="N59"/>
  <c r="N58"/>
  <c r="N57"/>
  <c r="N56"/>
  <c r="N55"/>
  <c r="N54"/>
  <c r="N53"/>
  <c r="N52"/>
  <c r="N51"/>
  <c r="N50"/>
  <c r="N49"/>
  <c r="N48"/>
  <c r="N47"/>
  <c r="N46"/>
  <c r="N45"/>
  <c r="N44"/>
  <c r="N43"/>
  <c r="N42"/>
  <c r="N41"/>
  <c r="N40"/>
  <c r="N39"/>
  <c r="N38"/>
  <c r="N37"/>
  <c r="N36"/>
  <c r="N35"/>
  <c r="N34"/>
  <c r="N33"/>
  <c r="N32"/>
  <c r="N31"/>
  <c r="N30"/>
  <c r="N29"/>
  <c r="N28"/>
  <c r="N27"/>
  <c r="N26"/>
  <c r="N25"/>
  <c r="N24"/>
  <c r="N23"/>
  <c r="N22"/>
  <c r="N21"/>
  <c r="N20"/>
  <c r="N19"/>
  <c r="N18"/>
  <c r="N17"/>
  <c r="N16"/>
  <c r="N15"/>
  <c r="N14"/>
  <c r="N13"/>
  <c r="N12"/>
  <c r="N5"/>
  <c r="N6"/>
  <c r="N7"/>
  <c r="N8"/>
  <c r="N9"/>
  <c r="N10"/>
  <c r="N11"/>
  <c r="C25" i="3"/>
  <c r="D25"/>
  <c r="I4" i="1"/>
  <c r="I5"/>
  <c r="L3" i="3" s="1"/>
  <c r="I6" i="1"/>
  <c r="I7"/>
  <c r="I8"/>
  <c r="I10"/>
  <c r="L4" i="3" s="1"/>
  <c r="I11" i="1"/>
  <c r="I12"/>
  <c r="I13"/>
  <c r="I14"/>
  <c r="L6" i="3" s="1"/>
  <c r="I15" i="1"/>
  <c r="I16"/>
  <c r="I17"/>
  <c r="I18"/>
  <c r="L8" i="3" s="1"/>
  <c r="I19" i="1"/>
  <c r="I20"/>
  <c r="I21"/>
  <c r="I22"/>
  <c r="I23"/>
  <c r="I24"/>
  <c r="L9" i="3" s="1"/>
  <c r="I25" i="1"/>
  <c r="I26"/>
  <c r="I27"/>
  <c r="I28"/>
  <c r="I29"/>
  <c r="I30"/>
  <c r="I31"/>
  <c r="I32"/>
  <c r="I33"/>
  <c r="I34"/>
  <c r="I35"/>
  <c r="I36"/>
  <c r="L11" i="3" s="1"/>
  <c r="I37" i="1"/>
  <c r="I38"/>
  <c r="I39"/>
  <c r="I40"/>
  <c r="I41"/>
  <c r="I42"/>
  <c r="L13" i="3" s="1"/>
  <c r="I43" i="1"/>
  <c r="I44"/>
  <c r="I45"/>
  <c r="I46"/>
  <c r="I47"/>
  <c r="I48"/>
  <c r="I49"/>
  <c r="I50"/>
  <c r="I51"/>
  <c r="I52"/>
  <c r="I53"/>
  <c r="I54"/>
  <c r="I55"/>
  <c r="I56"/>
  <c r="I57"/>
  <c r="I58"/>
  <c r="I59"/>
  <c r="I60"/>
  <c r="I61"/>
  <c r="I16" i="3"/>
  <c r="H16"/>
  <c r="G16"/>
  <c r="F16"/>
  <c r="E16"/>
  <c r="D16"/>
  <c r="C16"/>
  <c r="I17"/>
  <c r="H17"/>
  <c r="F17"/>
  <c r="E17"/>
  <c r="D17"/>
  <c r="C17"/>
  <c r="C8"/>
  <c r="D8"/>
  <c r="E8"/>
  <c r="F8"/>
  <c r="G8"/>
  <c r="H8"/>
  <c r="I8"/>
  <c r="I9"/>
  <c r="I19"/>
  <c r="L16"/>
  <c r="C3"/>
  <c r="C4"/>
  <c r="G17"/>
  <c r="I15"/>
  <c r="H15"/>
  <c r="G15"/>
  <c r="F15"/>
  <c r="E15"/>
  <c r="D15"/>
  <c r="C15"/>
  <c r="I14"/>
  <c r="H14"/>
  <c r="G14"/>
  <c r="F14"/>
  <c r="E14"/>
  <c r="D14"/>
  <c r="C14"/>
  <c r="I13"/>
  <c r="H13"/>
  <c r="G13"/>
  <c r="F13"/>
  <c r="E13"/>
  <c r="D13"/>
  <c r="C13"/>
  <c r="I12"/>
  <c r="H12"/>
  <c r="G12"/>
  <c r="F12"/>
  <c r="E12"/>
  <c r="D12"/>
  <c r="C12"/>
  <c r="I11"/>
  <c r="H11"/>
  <c r="G11"/>
  <c r="F11"/>
  <c r="E11"/>
  <c r="D11"/>
  <c r="C11"/>
  <c r="I10"/>
  <c r="H10"/>
  <c r="G10"/>
  <c r="F10"/>
  <c r="E10"/>
  <c r="D10"/>
  <c r="C10"/>
  <c r="H9"/>
  <c r="G9"/>
  <c r="F9"/>
  <c r="E9"/>
  <c r="D9"/>
  <c r="C9"/>
  <c r="I7"/>
  <c r="H7"/>
  <c r="G7"/>
  <c r="F7"/>
  <c r="E7"/>
  <c r="D7"/>
  <c r="C7"/>
  <c r="I6"/>
  <c r="H6"/>
  <c r="G6"/>
  <c r="F6"/>
  <c r="E6"/>
  <c r="C6"/>
  <c r="D6"/>
  <c r="I5"/>
  <c r="H5"/>
  <c r="G5"/>
  <c r="F5"/>
  <c r="E5"/>
  <c r="D5"/>
  <c r="C5"/>
  <c r="I4"/>
  <c r="H4"/>
  <c r="G4"/>
  <c r="F4"/>
  <c r="E4"/>
  <c r="D4"/>
  <c r="I3"/>
  <c r="H3"/>
  <c r="G3"/>
  <c r="F3"/>
  <c r="E3"/>
  <c r="D3"/>
  <c r="L5"/>
  <c r="L7"/>
  <c r="L12"/>
  <c r="L14"/>
  <c r="L17"/>
  <c r="J3" i="1" l="1"/>
  <c r="T3"/>
  <c r="E19" i="3"/>
  <c r="C19"/>
  <c r="D19"/>
  <c r="F19"/>
  <c r="AD3" i="1"/>
  <c r="F3"/>
  <c r="E25" i="3" s="1"/>
  <c r="L10"/>
  <c r="O3" i="1"/>
  <c r="AI3"/>
  <c r="L15" i="3"/>
  <c r="L18" s="1"/>
  <c r="J16"/>
  <c r="J9"/>
  <c r="J11"/>
  <c r="J13"/>
  <c r="I18"/>
  <c r="G18"/>
  <c r="J6"/>
  <c r="J7"/>
  <c r="J5"/>
  <c r="E18"/>
  <c r="J15"/>
  <c r="J4"/>
  <c r="J10"/>
  <c r="J12"/>
  <c r="J8"/>
  <c r="J14"/>
  <c r="J3"/>
  <c r="J17"/>
  <c r="D18"/>
  <c r="F18"/>
  <c r="C18"/>
  <c r="H18"/>
  <c r="J19" l="1"/>
  <c r="K19" s="1"/>
  <c r="F25"/>
  <c r="G25" s="1"/>
  <c r="E26" s="1"/>
  <c r="M17"/>
  <c r="M8"/>
  <c r="M4"/>
  <c r="M12"/>
  <c r="M6"/>
  <c r="M3"/>
  <c r="M5"/>
  <c r="M7"/>
  <c r="M10"/>
  <c r="M14"/>
  <c r="M16"/>
  <c r="M9"/>
  <c r="M11"/>
  <c r="M13"/>
  <c r="M15"/>
  <c r="M20" l="1"/>
  <c r="D26"/>
  <c r="F26"/>
  <c r="C26"/>
</calcChain>
</file>

<file path=xl/sharedStrings.xml><?xml version="1.0" encoding="utf-8"?>
<sst xmlns="http://schemas.openxmlformats.org/spreadsheetml/2006/main" count="1852" uniqueCount="146">
  <si>
    <t>MiniSoff</t>
  </si>
  <si>
    <t>Shlikäh</t>
  </si>
  <si>
    <t>Rombar3</t>
  </si>
  <si>
    <t>Karaya</t>
  </si>
  <si>
    <t>Or</t>
  </si>
  <si>
    <t>Bois</t>
  </si>
  <si>
    <t>Minerais</t>
  </si>
  <si>
    <t>Mercure</t>
  </si>
  <si>
    <t>Cristaux</t>
  </si>
  <si>
    <t>Souffre</t>
  </si>
  <si>
    <t>Gemmes</t>
  </si>
  <si>
    <t>Briggs</t>
  </si>
  <si>
    <t>Resembool</t>
  </si>
  <si>
    <t>Joueur</t>
  </si>
  <si>
    <t>Cité</t>
  </si>
  <si>
    <t>Sigholt</t>
  </si>
  <si>
    <t>Spiredore</t>
  </si>
  <si>
    <t>Chisha</t>
  </si>
  <si>
    <t>Axs</t>
  </si>
  <si>
    <t>Arrang Llor</t>
  </si>
  <si>
    <t>Ramallo</t>
  </si>
  <si>
    <t>Ireem</t>
  </si>
  <si>
    <t>Habbanya</t>
  </si>
  <si>
    <t>Crealkiller</t>
  </si>
  <si>
    <t>Kardan</t>
  </si>
  <si>
    <t>Crktown</t>
  </si>
  <si>
    <t>Ashlook</t>
  </si>
  <si>
    <t>Coin chaud</t>
  </si>
  <si>
    <t>Tazopolis</t>
  </si>
  <si>
    <t>Markus_003</t>
  </si>
  <si>
    <t>Zorro city</t>
  </si>
  <si>
    <t>Luffy City</t>
  </si>
  <si>
    <t>Tobrouk</t>
  </si>
  <si>
    <t>Elmaerror</t>
  </si>
  <si>
    <t>Ziltoid</t>
  </si>
  <si>
    <t>Talmon</t>
  </si>
  <si>
    <t>Maenam</t>
  </si>
  <si>
    <t>Jolen</t>
  </si>
  <si>
    <t>Paoh</t>
  </si>
  <si>
    <t>Paohedra</t>
  </si>
  <si>
    <t>Tirwana</t>
  </si>
  <si>
    <t>Djizuss</t>
  </si>
  <si>
    <t>Parados</t>
  </si>
  <si>
    <t>Ishbal</t>
  </si>
  <si>
    <t>Othering</t>
  </si>
  <si>
    <t>Canardlaqué</t>
  </si>
  <si>
    <t>Pakyke</t>
  </si>
  <si>
    <t>Astrictor</t>
  </si>
  <si>
    <t>Waleshar</t>
  </si>
  <si>
    <t>Nami City</t>
  </si>
  <si>
    <t>Kingar</t>
  </si>
  <si>
    <t>Vrynheim</t>
  </si>
  <si>
    <t>Opélöm</t>
  </si>
  <si>
    <t>Aixe</t>
  </si>
  <si>
    <t>O</t>
  </si>
  <si>
    <t>S</t>
  </si>
  <si>
    <t>G</t>
  </si>
  <si>
    <t>Me</t>
  </si>
  <si>
    <t>B</t>
  </si>
  <si>
    <t>C</t>
  </si>
  <si>
    <t>Mi</t>
  </si>
  <si>
    <t>Zexen</t>
  </si>
  <si>
    <t>Grassland</t>
  </si>
  <si>
    <t>Paradis</t>
  </si>
  <si>
    <t>Solkara</t>
  </si>
  <si>
    <t>Dublith</t>
  </si>
  <si>
    <t>Grasslands</t>
  </si>
  <si>
    <t>Havre</t>
  </si>
  <si>
    <t>Necro</t>
  </si>
  <si>
    <t>Academy</t>
  </si>
  <si>
    <t>Faction</t>
  </si>
  <si>
    <t>Sacerdosse</t>
  </si>
  <si>
    <t>Pixie</t>
  </si>
  <si>
    <t>Total</t>
  </si>
  <si>
    <t>Melissia</t>
  </si>
  <si>
    <t>CoinCulture</t>
  </si>
  <si>
    <t>TrainXIII</t>
  </si>
  <si>
    <t>Shanris</t>
  </si>
  <si>
    <t>Lac Rouge</t>
  </si>
  <si>
    <t>Présence</t>
  </si>
  <si>
    <t>Pipo City</t>
  </si>
  <si>
    <t>Pipo city</t>
  </si>
  <si>
    <t>Nécro</t>
  </si>
  <si>
    <t>Othring</t>
  </si>
  <si>
    <t>Nb Trésorie</t>
  </si>
  <si>
    <t>Burton City</t>
  </si>
  <si>
    <t>Wooten City</t>
  </si>
  <si>
    <t>Sergeac</t>
  </si>
  <si>
    <t>Montignac</t>
  </si>
  <si>
    <t>Emhterrae</t>
  </si>
  <si>
    <t>Montaigu</t>
  </si>
  <si>
    <t>Lotus Noir</t>
  </si>
  <si>
    <t>Lagon Bleu</t>
  </si>
  <si>
    <t>Nicus_City</t>
  </si>
  <si>
    <t>Max_Empire</t>
  </si>
  <si>
    <t>Azzar</t>
  </si>
  <si>
    <t>Strasbur</t>
  </si>
  <si>
    <t>Aleass</t>
  </si>
  <si>
    <t>Neo Lille</t>
  </si>
  <si>
    <t>Nagashizzar</t>
  </si>
  <si>
    <t>Les Tertres</t>
  </si>
  <si>
    <t>Sativa</t>
  </si>
  <si>
    <t>tazopolis</t>
  </si>
  <si>
    <t>Trésorerie</t>
  </si>
  <si>
    <t>Thelendryl</t>
  </si>
  <si>
    <t>Coin Chaud</t>
  </si>
  <si>
    <t>Dorpozor</t>
  </si>
  <si>
    <t>PuitsDAmes</t>
  </si>
  <si>
    <t>WellOfSouls</t>
  </si>
  <si>
    <t>Dementia</t>
  </si>
  <si>
    <t>Cartthgene</t>
  </si>
  <si>
    <t>Troyes</t>
  </si>
  <si>
    <t>Frytebeth</t>
  </si>
  <si>
    <t>melissia</t>
  </si>
  <si>
    <t>aixe</t>
  </si>
  <si>
    <t>Ouranopolis</t>
  </si>
  <si>
    <t>Gaïapolis</t>
  </si>
  <si>
    <t>Crk City</t>
  </si>
  <si>
    <t>Yduram</t>
  </si>
  <si>
    <t>change</t>
  </si>
  <si>
    <t>Ambur</t>
  </si>
  <si>
    <t>Amroth</t>
  </si>
  <si>
    <t>Pandora</t>
  </si>
  <si>
    <t>Isis</t>
  </si>
  <si>
    <t>Inferno</t>
  </si>
  <si>
    <t>Paradès</t>
  </si>
  <si>
    <t>%Or</t>
  </si>
  <si>
    <t>O1</t>
  </si>
  <si>
    <t>O2</t>
  </si>
  <si>
    <t>O3</t>
  </si>
  <si>
    <t>Or ( nbT trésories)</t>
  </si>
  <si>
    <t>total</t>
  </si>
  <si>
    <t>Ressource</t>
  </si>
  <si>
    <t>R1</t>
  </si>
  <si>
    <t>R2</t>
  </si>
  <si>
    <t>R3</t>
  </si>
  <si>
    <t>R4</t>
  </si>
  <si>
    <t>R</t>
  </si>
  <si>
    <t>Fin</t>
  </si>
  <si>
    <t>Production journalière</t>
  </si>
  <si>
    <t>Nombre de mine par joueur</t>
  </si>
  <si>
    <t>Tiso</t>
  </si>
  <si>
    <t>Y</t>
  </si>
  <si>
    <t>X</t>
  </si>
  <si>
    <t>présence mine</t>
  </si>
  <si>
    <t>MAJ 28/07/2009 09h10</t>
  </si>
</sst>
</file>

<file path=xl/styles.xml><?xml version="1.0" encoding="utf-8"?>
<styleSheet xmlns="http://schemas.openxmlformats.org/spreadsheetml/2006/main">
  <numFmts count="1">
    <numFmt numFmtId="164" formatCode="0.0%"/>
  </numFmts>
  <fonts count="8">
    <font>
      <sz val="11"/>
      <color theme="1"/>
      <name val="Calibri"/>
      <family val="2"/>
      <scheme val="minor"/>
    </font>
    <font>
      <sz val="11"/>
      <color theme="0"/>
      <name val="Calibri"/>
      <family val="2"/>
      <scheme val="minor"/>
    </font>
    <font>
      <sz val="11"/>
      <color rgb="FFFF0000"/>
      <name val="Calibri"/>
      <family val="2"/>
      <scheme val="minor"/>
    </font>
    <font>
      <sz val="11"/>
      <name val="Calibri"/>
      <family val="2"/>
      <scheme val="minor"/>
    </font>
    <font>
      <b/>
      <sz val="22"/>
      <color theme="1"/>
      <name val="Calibri"/>
      <family val="2"/>
      <scheme val="minor"/>
    </font>
    <font>
      <sz val="16"/>
      <color theme="1"/>
      <name val="Calibri"/>
      <family val="2"/>
      <scheme val="minor"/>
    </font>
    <font>
      <sz val="11"/>
      <color theme="1"/>
      <name val="Calibri"/>
      <family val="2"/>
      <scheme val="minor"/>
    </font>
    <font>
      <sz val="8"/>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2" tint="-0.499984740745262"/>
        <bgColor indexed="64"/>
      </patternFill>
    </fill>
    <fill>
      <patternFill patternType="solid">
        <fgColor theme="3"/>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79998168889431442"/>
        <bgColor indexed="64"/>
      </patternFill>
    </fill>
    <fill>
      <patternFill patternType="solid">
        <fgColor theme="0"/>
        <bgColor indexed="64"/>
      </patternFill>
    </fill>
    <fill>
      <patternFill patternType="solid">
        <fgColor rgb="FF00B050"/>
        <bgColor indexed="64"/>
      </patternFill>
    </fill>
    <fill>
      <patternFill patternType="solid">
        <fgColor rgb="FF7030A0"/>
        <bgColor indexed="64"/>
      </patternFill>
    </fill>
    <fill>
      <patternFill patternType="solid">
        <fgColor rgb="FF92D050"/>
        <bgColor indexed="64"/>
      </patternFill>
    </fill>
    <fill>
      <patternFill patternType="solid">
        <fgColor theme="5" tint="-0.249977111117893"/>
        <bgColor indexed="64"/>
      </patternFill>
    </fill>
    <fill>
      <patternFill patternType="solid">
        <fgColor theme="6" tint="-0.499984740745262"/>
        <bgColor indexed="64"/>
      </patternFill>
    </fill>
    <fill>
      <patternFill patternType="solid">
        <fgColor theme="9" tint="-0.499984740745262"/>
        <bgColor indexed="64"/>
      </patternFill>
    </fill>
  </fills>
  <borders count="12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style="thick">
        <color indexed="64"/>
      </bottom>
      <diagonal/>
    </border>
    <border>
      <left/>
      <right style="thick">
        <color indexed="64"/>
      </right>
      <top/>
      <bottom style="thick">
        <color indexed="64"/>
      </bottom>
      <diagonal/>
    </border>
    <border>
      <left/>
      <right/>
      <top style="thick">
        <color indexed="64"/>
      </top>
      <bottom/>
      <diagonal/>
    </border>
    <border>
      <left/>
      <right/>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right style="medium">
        <color indexed="64"/>
      </right>
      <top style="thick">
        <color indexed="64"/>
      </top>
      <bottom/>
      <diagonal/>
    </border>
    <border>
      <left style="medium">
        <color indexed="64"/>
      </left>
      <right/>
      <top style="thick">
        <color indexed="64"/>
      </top>
      <bottom/>
      <diagonal/>
    </border>
    <border>
      <left style="thick">
        <color rgb="FFFF0000"/>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style="thick">
        <color rgb="FFFF0000"/>
      </right>
      <top/>
      <bottom style="thick">
        <color rgb="FFFF0000"/>
      </bottom>
      <diagonal/>
    </border>
    <border>
      <left style="medium">
        <color indexed="64"/>
      </left>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style="dashed">
        <color indexed="64"/>
      </left>
      <right style="dashed">
        <color indexed="64"/>
      </right>
      <top style="medium">
        <color indexed="64"/>
      </top>
      <bottom/>
      <diagonal/>
    </border>
    <border>
      <left style="dashed">
        <color indexed="64"/>
      </left>
      <right style="dashed">
        <color indexed="64"/>
      </right>
      <top/>
      <bottom/>
      <diagonal/>
    </border>
    <border>
      <left style="medium">
        <color indexed="64"/>
      </left>
      <right style="medium">
        <color indexed="64"/>
      </right>
      <top style="dashed">
        <color indexed="64"/>
      </top>
      <bottom style="dashed">
        <color indexed="64"/>
      </bottom>
      <diagonal/>
    </border>
    <border>
      <left style="medium">
        <color indexed="64"/>
      </left>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style="thin">
        <color indexed="64"/>
      </right>
      <top style="medium">
        <color indexed="64"/>
      </top>
      <bottom/>
      <diagonal/>
    </border>
    <border>
      <left style="medium">
        <color indexed="64"/>
      </left>
      <right style="medium">
        <color indexed="64"/>
      </right>
      <top style="dashed">
        <color indexed="64"/>
      </top>
      <bottom/>
      <diagonal/>
    </border>
    <border>
      <left style="medium">
        <color indexed="64"/>
      </left>
      <right/>
      <top/>
      <bottom style="medium">
        <color indexed="64"/>
      </bottom>
      <diagonal/>
    </border>
    <border>
      <left style="dashed">
        <color indexed="64"/>
      </left>
      <right style="dashed">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style="thick">
        <color indexed="64"/>
      </left>
      <right/>
      <top style="thick">
        <color rgb="FFFF0000"/>
      </top>
      <bottom/>
      <diagonal/>
    </border>
    <border>
      <left/>
      <right style="thick">
        <color indexed="64"/>
      </right>
      <top style="thick">
        <color rgb="FFFF0000"/>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dashed">
        <color indexed="64"/>
      </left>
      <right/>
      <top style="medium">
        <color indexed="64"/>
      </top>
      <bottom style="thin">
        <color indexed="64"/>
      </bottom>
      <diagonal/>
    </border>
    <border>
      <left/>
      <right style="dashed">
        <color indexed="64"/>
      </right>
      <top style="medium">
        <color indexed="64"/>
      </top>
      <bottom style="thin">
        <color indexed="64"/>
      </bottom>
      <diagonal/>
    </border>
    <border>
      <left style="dashed">
        <color indexed="64"/>
      </left>
      <right/>
      <top/>
      <bottom/>
      <diagonal/>
    </border>
    <border>
      <left/>
      <right style="dashed">
        <color indexed="64"/>
      </right>
      <top/>
      <bottom/>
      <diagonal/>
    </border>
    <border>
      <left style="dashed">
        <color indexed="64"/>
      </left>
      <right/>
      <top style="thin">
        <color indexed="64"/>
      </top>
      <bottom/>
      <diagonal/>
    </border>
    <border>
      <left/>
      <right style="dashed">
        <color indexed="64"/>
      </right>
      <top style="thin">
        <color indexed="64"/>
      </top>
      <bottom/>
      <diagonal/>
    </border>
    <border>
      <left style="dashed">
        <color indexed="64"/>
      </left>
      <right/>
      <top/>
      <bottom style="thin">
        <color indexed="64"/>
      </bottom>
      <diagonal/>
    </border>
    <border>
      <left/>
      <right style="dashed">
        <color indexed="64"/>
      </right>
      <top/>
      <bottom style="thin">
        <color indexed="64"/>
      </bottom>
      <diagonal/>
    </border>
    <border>
      <left style="dashed">
        <color indexed="64"/>
      </left>
      <right/>
      <top style="thin">
        <color indexed="64"/>
      </top>
      <bottom style="medium">
        <color indexed="64"/>
      </bottom>
      <diagonal/>
    </border>
    <border>
      <left/>
      <right style="dashed">
        <color indexed="64"/>
      </right>
      <top style="thin">
        <color indexed="64"/>
      </top>
      <bottom style="medium">
        <color indexed="64"/>
      </bottom>
      <diagonal/>
    </border>
    <border>
      <left style="dashed">
        <color indexed="64"/>
      </left>
      <right/>
      <top style="medium">
        <color indexed="64"/>
      </top>
      <bottom style="medium">
        <color indexed="64"/>
      </bottom>
      <diagonal/>
    </border>
    <border>
      <left/>
      <right style="dashed">
        <color indexed="64"/>
      </right>
      <top style="medium">
        <color indexed="64"/>
      </top>
      <bottom style="medium">
        <color indexed="64"/>
      </bottom>
      <diagonal/>
    </border>
    <border>
      <left style="dashed">
        <color indexed="64"/>
      </left>
      <right/>
      <top style="medium">
        <color indexed="64"/>
      </top>
      <bottom/>
      <diagonal/>
    </border>
    <border>
      <left/>
      <right style="dashed">
        <color indexed="64"/>
      </right>
      <top style="medium">
        <color indexed="64"/>
      </top>
      <bottom/>
      <diagonal/>
    </border>
    <border>
      <left style="dashed">
        <color indexed="64"/>
      </left>
      <right/>
      <top style="thin">
        <color indexed="64"/>
      </top>
      <bottom style="thin">
        <color indexed="64"/>
      </bottom>
      <diagonal/>
    </border>
    <border>
      <left/>
      <right style="dashed">
        <color indexed="64"/>
      </right>
      <top style="thin">
        <color indexed="64"/>
      </top>
      <bottom style="thin">
        <color indexed="64"/>
      </bottom>
      <diagonal/>
    </border>
    <border>
      <left style="dotted">
        <color indexed="64"/>
      </left>
      <right/>
      <top style="thin">
        <color indexed="64"/>
      </top>
      <bottom style="medium">
        <color indexed="64"/>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439">
    <xf numFmtId="0" fontId="0" fillId="0" borderId="0" xfId="0"/>
    <xf numFmtId="0" fontId="0" fillId="0" borderId="2" xfId="0" applyBorder="1" applyAlignment="1">
      <alignment horizontal="center" vertical="center"/>
    </xf>
    <xf numFmtId="0" fontId="0" fillId="0" borderId="1" xfId="0" applyBorder="1" applyAlignment="1">
      <alignment horizontal="center" vertical="center"/>
    </xf>
    <xf numFmtId="0" fontId="0" fillId="0" borderId="23" xfId="0" applyFill="1" applyBorder="1" applyAlignment="1">
      <alignment horizontal="center" vertical="center"/>
    </xf>
    <xf numFmtId="0" fontId="0" fillId="0" borderId="15" xfId="0" applyFill="1" applyBorder="1" applyAlignment="1">
      <alignment horizontal="center" vertical="center"/>
    </xf>
    <xf numFmtId="0" fontId="0" fillId="0" borderId="19" xfId="0" applyFill="1" applyBorder="1" applyAlignment="1">
      <alignment horizontal="center" vertical="center"/>
    </xf>
    <xf numFmtId="0" fontId="0" fillId="0" borderId="30" xfId="0" applyFill="1" applyBorder="1" applyAlignment="1">
      <alignment horizontal="center" vertical="center"/>
    </xf>
    <xf numFmtId="0" fontId="0" fillId="0" borderId="0" xfId="0" applyAlignment="1">
      <alignment horizontal="center" vertical="center"/>
    </xf>
    <xf numFmtId="0" fontId="0" fillId="0" borderId="35" xfId="0" applyFill="1" applyBorder="1"/>
    <xf numFmtId="0" fontId="0" fillId="0" borderId="36" xfId="0" applyFill="1" applyBorder="1"/>
    <xf numFmtId="0" fontId="0" fillId="0" borderId="37" xfId="0" applyFill="1" applyBorder="1"/>
    <xf numFmtId="0" fontId="0" fillId="0" borderId="38" xfId="0" applyFill="1" applyBorder="1"/>
    <xf numFmtId="0" fontId="0" fillId="9" borderId="15" xfId="0" applyFill="1" applyBorder="1" applyAlignment="1">
      <alignment horizontal="center" vertical="center"/>
    </xf>
    <xf numFmtId="0" fontId="0" fillId="9" borderId="33" xfId="0" applyFill="1" applyBorder="1"/>
    <xf numFmtId="0" fontId="0" fillId="9" borderId="30" xfId="0" applyFill="1" applyBorder="1" applyAlignment="1">
      <alignment horizontal="center" vertical="center"/>
    </xf>
    <xf numFmtId="0" fontId="0" fillId="9" borderId="35" xfId="0" applyFill="1" applyBorder="1"/>
    <xf numFmtId="0" fontId="0" fillId="9" borderId="19" xfId="0" applyFill="1" applyBorder="1" applyAlignment="1">
      <alignment horizontal="center" vertical="center"/>
    </xf>
    <xf numFmtId="0" fontId="0" fillId="9" borderId="34" xfId="0" applyFill="1" applyBorder="1"/>
    <xf numFmtId="0" fontId="0" fillId="0" borderId="39" xfId="0" applyBorder="1" applyAlignment="1">
      <alignment horizontal="center" vertical="center"/>
    </xf>
    <xf numFmtId="0" fontId="0" fillId="0" borderId="38" xfId="0" applyBorder="1"/>
    <xf numFmtId="0" fontId="0" fillId="0" borderId="40" xfId="0" applyBorder="1" applyAlignment="1">
      <alignment horizontal="center" vertical="center"/>
    </xf>
    <xf numFmtId="0" fontId="0" fillId="0" borderId="37" xfId="0" applyBorder="1"/>
    <xf numFmtId="0" fontId="0" fillId="0" borderId="30" xfId="0" applyFill="1"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wrapText="1"/>
    </xf>
    <xf numFmtId="0" fontId="5" fillId="0" borderId="0" xfId="0" applyFont="1" applyAlignment="1">
      <alignment horizontal="center" vertical="center" wrapText="1"/>
    </xf>
    <xf numFmtId="0" fontId="0" fillId="10" borderId="0" xfId="0" applyFill="1" applyBorder="1" applyAlignment="1">
      <alignment horizontal="center" vertical="center" wrapText="1"/>
    </xf>
    <xf numFmtId="0" fontId="0" fillId="0" borderId="45" xfId="0" applyBorder="1"/>
    <xf numFmtId="0" fontId="0" fillId="0" borderId="46" xfId="0" applyBorder="1"/>
    <xf numFmtId="0" fontId="0" fillId="0" borderId="47" xfId="0" applyBorder="1"/>
    <xf numFmtId="0" fontId="0" fillId="10" borderId="0" xfId="0" applyFill="1"/>
    <xf numFmtId="0" fontId="0" fillId="10" borderId="0" xfId="0" applyFill="1" applyAlignment="1">
      <alignment horizontal="center" vertical="center"/>
    </xf>
    <xf numFmtId="0" fontId="0" fillId="10" borderId="1" xfId="0" applyFill="1" applyBorder="1" applyAlignment="1">
      <alignment horizontal="center" vertical="center"/>
    </xf>
    <xf numFmtId="0" fontId="0" fillId="10" borderId="0" xfId="0" applyFill="1" applyBorder="1" applyAlignment="1">
      <alignment horizontal="center" vertical="center"/>
    </xf>
    <xf numFmtId="0" fontId="0" fillId="10" borderId="16" xfId="0" applyFill="1" applyBorder="1" applyAlignment="1">
      <alignment horizontal="center" vertical="center"/>
    </xf>
    <xf numFmtId="0" fontId="0" fillId="10" borderId="16" xfId="0" applyFill="1" applyBorder="1"/>
    <xf numFmtId="0" fontId="0" fillId="10" borderId="17" xfId="0" applyFill="1" applyBorder="1"/>
    <xf numFmtId="0" fontId="0" fillId="10" borderId="18" xfId="0" applyFill="1" applyBorder="1"/>
    <xf numFmtId="0" fontId="3" fillId="10" borderId="17" xfId="0" applyFont="1" applyFill="1" applyBorder="1"/>
    <xf numFmtId="0" fontId="0" fillId="10" borderId="1" xfId="0" applyFill="1" applyBorder="1"/>
    <xf numFmtId="0" fontId="0" fillId="10" borderId="2" xfId="0" applyFill="1" applyBorder="1"/>
    <xf numFmtId="0" fontId="0" fillId="10" borderId="3" xfId="0" applyFill="1" applyBorder="1"/>
    <xf numFmtId="0" fontId="3" fillId="10" borderId="2" xfId="0" applyFont="1" applyFill="1" applyBorder="1"/>
    <xf numFmtId="0" fontId="0" fillId="10" borderId="13" xfId="0" applyFill="1" applyBorder="1" applyAlignment="1">
      <alignment horizontal="center" vertical="center"/>
    </xf>
    <xf numFmtId="0" fontId="0" fillId="10" borderId="13" xfId="0" applyFill="1" applyBorder="1"/>
    <xf numFmtId="0" fontId="0" fillId="10" borderId="14" xfId="0" applyFill="1" applyBorder="1"/>
    <xf numFmtId="0" fontId="0" fillId="10" borderId="12" xfId="0" applyFill="1" applyBorder="1"/>
    <xf numFmtId="0" fontId="3" fillId="10" borderId="14" xfId="0" applyFont="1" applyFill="1" applyBorder="1"/>
    <xf numFmtId="0" fontId="0" fillId="10" borderId="20" xfId="0" applyFill="1" applyBorder="1" applyAlignment="1">
      <alignment horizontal="center" vertical="center"/>
    </xf>
    <xf numFmtId="0" fontId="0" fillId="10" borderId="20" xfId="0" applyFill="1" applyBorder="1"/>
    <xf numFmtId="0" fontId="0" fillId="10" borderId="21" xfId="0" applyFill="1" applyBorder="1"/>
    <xf numFmtId="0" fontId="0" fillId="10" borderId="22" xfId="0" applyFill="1" applyBorder="1"/>
    <xf numFmtId="0" fontId="3" fillId="10" borderId="20" xfId="0" applyFont="1" applyFill="1" applyBorder="1"/>
    <xf numFmtId="0" fontId="3" fillId="10" borderId="21" xfId="0" applyFont="1" applyFill="1" applyBorder="1"/>
    <xf numFmtId="0" fontId="3" fillId="10" borderId="22" xfId="0" applyFont="1" applyFill="1" applyBorder="1"/>
    <xf numFmtId="0" fontId="0" fillId="10" borderId="9" xfId="0" applyFill="1" applyBorder="1" applyAlignment="1">
      <alignment horizontal="center" vertical="center"/>
    </xf>
    <xf numFmtId="0" fontId="3" fillId="10" borderId="13" xfId="0" applyFont="1" applyFill="1" applyBorder="1"/>
    <xf numFmtId="0" fontId="3" fillId="10" borderId="12" xfId="0" applyFont="1" applyFill="1" applyBorder="1"/>
    <xf numFmtId="0" fontId="2" fillId="10" borderId="17" xfId="0" applyFont="1" applyFill="1" applyBorder="1"/>
    <xf numFmtId="0" fontId="2" fillId="10" borderId="21" xfId="0" applyFont="1" applyFill="1" applyBorder="1"/>
    <xf numFmtId="0" fontId="2" fillId="10" borderId="14" xfId="0" applyFont="1" applyFill="1" applyBorder="1"/>
    <xf numFmtId="0" fontId="2" fillId="10" borderId="2" xfId="0" applyFont="1" applyFill="1" applyBorder="1"/>
    <xf numFmtId="0" fontId="0" fillId="10" borderId="23" xfId="0" applyFill="1" applyBorder="1" applyAlignment="1">
      <alignment horizontal="center" vertical="center"/>
    </xf>
    <xf numFmtId="0" fontId="0" fillId="10" borderId="24" xfId="0" applyFill="1" applyBorder="1" applyAlignment="1">
      <alignment horizontal="center" vertical="center"/>
    </xf>
    <xf numFmtId="0" fontId="0" fillId="10" borderId="24" xfId="0" applyFill="1" applyBorder="1"/>
    <xf numFmtId="0" fontId="2" fillId="10" borderId="25" xfId="0" applyFont="1" applyFill="1" applyBorder="1"/>
    <xf numFmtId="0" fontId="0" fillId="10" borderId="26" xfId="0" applyFill="1" applyBorder="1"/>
    <xf numFmtId="0" fontId="0" fillId="10" borderId="25" xfId="0" applyFill="1" applyBorder="1"/>
    <xf numFmtId="0" fontId="0" fillId="10" borderId="27" xfId="0" applyFill="1" applyBorder="1"/>
    <xf numFmtId="0" fontId="0" fillId="10" borderId="49" xfId="0" applyFill="1" applyBorder="1"/>
    <xf numFmtId="0" fontId="3" fillId="10" borderId="49" xfId="0" applyFont="1" applyFill="1" applyBorder="1"/>
    <xf numFmtId="0" fontId="3" fillId="10" borderId="43" xfId="0" applyFont="1" applyFill="1" applyBorder="1"/>
    <xf numFmtId="0" fontId="0" fillId="10" borderId="48" xfId="0" applyFill="1" applyBorder="1"/>
    <xf numFmtId="0" fontId="0" fillId="10" borderId="43" xfId="0" applyFill="1" applyBorder="1"/>
    <xf numFmtId="0" fontId="0" fillId="10" borderId="4" xfId="0" applyFill="1" applyBorder="1"/>
    <xf numFmtId="0" fontId="3" fillId="10" borderId="4" xfId="0" applyFont="1" applyFill="1" applyBorder="1"/>
    <xf numFmtId="0" fontId="3" fillId="10" borderId="5" xfId="0" applyFont="1" applyFill="1" applyBorder="1"/>
    <xf numFmtId="0" fontId="0" fillId="10" borderId="6" xfId="0" applyFill="1" applyBorder="1"/>
    <xf numFmtId="0" fontId="0" fillId="10" borderId="5" xfId="0" applyFill="1" applyBorder="1"/>
    <xf numFmtId="0" fontId="3" fillId="10" borderId="28" xfId="0" applyFont="1" applyFill="1" applyBorder="1"/>
    <xf numFmtId="0" fontId="3" fillId="10" borderId="16" xfId="0" applyFont="1" applyFill="1" applyBorder="1"/>
    <xf numFmtId="0" fontId="3" fillId="10" borderId="18" xfId="0" applyFont="1" applyFill="1" applyBorder="1"/>
    <xf numFmtId="0" fontId="3" fillId="10" borderId="7" xfId="0" applyFont="1" applyFill="1" applyBorder="1"/>
    <xf numFmtId="0" fontId="3" fillId="10" borderId="1" xfId="0" applyFont="1" applyFill="1" applyBorder="1"/>
    <xf numFmtId="0" fontId="3" fillId="10" borderId="3" xfId="0" applyFont="1" applyFill="1" applyBorder="1"/>
    <xf numFmtId="0" fontId="3" fillId="10" borderId="8" xfId="0" applyFont="1" applyFill="1" applyBorder="1"/>
    <xf numFmtId="0" fontId="3" fillId="10" borderId="29" xfId="0" applyFont="1" applyFill="1" applyBorder="1"/>
    <xf numFmtId="0" fontId="0" fillId="10" borderId="8" xfId="0" applyFill="1" applyBorder="1"/>
    <xf numFmtId="0" fontId="0" fillId="10" borderId="7" xfId="0" applyFill="1" applyBorder="1"/>
    <xf numFmtId="0" fontId="0" fillId="10" borderId="28" xfId="0" applyFill="1" applyBorder="1"/>
    <xf numFmtId="0" fontId="0" fillId="10" borderId="29" xfId="0" applyFill="1" applyBorder="1"/>
    <xf numFmtId="0" fontId="0" fillId="10" borderId="4" xfId="0" applyFill="1" applyBorder="1" applyAlignment="1">
      <alignment horizontal="center" vertical="center"/>
    </xf>
    <xf numFmtId="0" fontId="0" fillId="10" borderId="10" xfId="0" applyFill="1" applyBorder="1"/>
    <xf numFmtId="0" fontId="0" fillId="10" borderId="32" xfId="0" applyFill="1" applyBorder="1"/>
    <xf numFmtId="0" fontId="0" fillId="10" borderId="0" xfId="0" applyFill="1" applyBorder="1"/>
    <xf numFmtId="0" fontId="0" fillId="10" borderId="9" xfId="0" applyFill="1" applyBorder="1"/>
    <xf numFmtId="0" fontId="0" fillId="10" borderId="11" xfId="0" applyFill="1" applyBorder="1"/>
    <xf numFmtId="0" fontId="0" fillId="10" borderId="10" xfId="0" applyFill="1" applyBorder="1" applyAlignment="1">
      <alignment horizontal="center" vertical="center"/>
    </xf>
    <xf numFmtId="0" fontId="0" fillId="10" borderId="29" xfId="0" applyFill="1" applyBorder="1" applyAlignment="1">
      <alignment horizontal="center" vertical="center"/>
    </xf>
    <xf numFmtId="0" fontId="0" fillId="10" borderId="50" xfId="0" applyFill="1" applyBorder="1" applyAlignment="1">
      <alignment horizontal="center" vertical="center" wrapText="1"/>
    </xf>
    <xf numFmtId="0" fontId="0" fillId="10" borderId="51" xfId="0" applyFill="1" applyBorder="1" applyAlignment="1">
      <alignment horizontal="center" vertical="center" wrapText="1"/>
    </xf>
    <xf numFmtId="0" fontId="0" fillId="10" borderId="52" xfId="0" applyFill="1" applyBorder="1" applyAlignment="1">
      <alignment horizontal="center" vertical="center" wrapText="1"/>
    </xf>
    <xf numFmtId="0" fontId="0" fillId="10" borderId="53" xfId="0" applyFill="1" applyBorder="1" applyAlignment="1">
      <alignment horizontal="center" vertical="center" wrapText="1"/>
    </xf>
    <xf numFmtId="0" fontId="0" fillId="10" borderId="58" xfId="0" applyFill="1" applyBorder="1" applyAlignment="1">
      <alignment horizontal="center" vertical="center" wrapText="1"/>
    </xf>
    <xf numFmtId="0" fontId="0" fillId="10" borderId="59" xfId="0" applyFill="1" applyBorder="1" applyAlignment="1">
      <alignment horizontal="center" vertical="center" wrapText="1"/>
    </xf>
    <xf numFmtId="0" fontId="0" fillId="10" borderId="60" xfId="0" applyFill="1" applyBorder="1" applyAlignment="1">
      <alignment horizontal="center" vertical="center" wrapText="1"/>
    </xf>
    <xf numFmtId="0" fontId="0" fillId="10" borderId="61" xfId="0" applyFill="1" applyBorder="1" applyAlignment="1">
      <alignment horizontal="center" vertical="center" wrapText="1"/>
    </xf>
    <xf numFmtId="0" fontId="0" fillId="10" borderId="66" xfId="0" applyFill="1" applyBorder="1" applyAlignment="1">
      <alignment horizontal="center" vertical="center" wrapText="1"/>
    </xf>
    <xf numFmtId="0" fontId="0" fillId="10" borderId="67" xfId="0" applyFill="1" applyBorder="1" applyAlignment="1">
      <alignment horizontal="center" vertical="center" wrapText="1"/>
    </xf>
    <xf numFmtId="0" fontId="0" fillId="10" borderId="68" xfId="0" applyFill="1" applyBorder="1" applyAlignment="1">
      <alignment horizontal="center" vertical="center" wrapText="1"/>
    </xf>
    <xf numFmtId="0" fontId="0" fillId="10" borderId="69" xfId="0" applyFill="1" applyBorder="1" applyAlignment="1">
      <alignment horizontal="center" vertical="center" wrapText="1"/>
    </xf>
    <xf numFmtId="0" fontId="2" fillId="10" borderId="0" xfId="0" applyFont="1" applyFill="1" applyBorder="1"/>
    <xf numFmtId="0" fontId="0" fillId="10" borderId="2" xfId="0" quotePrefix="1" applyFill="1" applyBorder="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43" xfId="0" applyFill="1" applyBorder="1" applyAlignment="1">
      <alignment horizontal="center" vertical="center"/>
    </xf>
    <xf numFmtId="0" fontId="0" fillId="10" borderId="72" xfId="0" applyFill="1" applyBorder="1" applyAlignment="1">
      <alignment horizontal="center" vertical="center"/>
    </xf>
    <xf numFmtId="0" fontId="0" fillId="10" borderId="41" xfId="0" applyFill="1" applyBorder="1" applyAlignment="1">
      <alignment horizontal="center" vertical="center"/>
    </xf>
    <xf numFmtId="0" fontId="0" fillId="10" borderId="73" xfId="0" applyFill="1" applyBorder="1" applyAlignment="1">
      <alignment horizontal="center" vertical="center"/>
    </xf>
    <xf numFmtId="0" fontId="0" fillId="10" borderId="31" xfId="0" applyFill="1" applyBorder="1" applyAlignment="1">
      <alignment horizontal="center" vertical="center"/>
    </xf>
    <xf numFmtId="0" fontId="0" fillId="10" borderId="75" xfId="0" applyFill="1" applyBorder="1" applyAlignment="1">
      <alignment horizontal="center" vertical="center"/>
    </xf>
    <xf numFmtId="0" fontId="0" fillId="10" borderId="76" xfId="0" applyFill="1" applyBorder="1" applyAlignment="1">
      <alignment horizontal="center" vertical="center"/>
    </xf>
    <xf numFmtId="0" fontId="0" fillId="10" borderId="77" xfId="0" applyFill="1" applyBorder="1" applyAlignment="1">
      <alignment horizontal="center" vertical="center"/>
    </xf>
    <xf numFmtId="0" fontId="0" fillId="10" borderId="78" xfId="0" applyFill="1" applyBorder="1" applyAlignment="1">
      <alignment horizontal="center" vertical="center"/>
    </xf>
    <xf numFmtId="0" fontId="0" fillId="10" borderId="74" xfId="0" applyFill="1" applyBorder="1" applyAlignment="1">
      <alignment horizontal="center" vertical="center"/>
    </xf>
    <xf numFmtId="0" fontId="0" fillId="10" borderId="44" xfId="0" applyFill="1" applyBorder="1" applyAlignment="1">
      <alignment horizontal="center" vertical="center"/>
    </xf>
    <xf numFmtId="0" fontId="3" fillId="10" borderId="0" xfId="0" applyFont="1" applyFill="1" applyBorder="1"/>
    <xf numFmtId="0" fontId="3" fillId="10" borderId="13" xfId="0" quotePrefix="1" applyFont="1" applyFill="1" applyBorder="1"/>
    <xf numFmtId="0" fontId="0" fillId="10" borderId="70" xfId="0" applyFill="1" applyBorder="1" applyAlignment="1">
      <alignment horizontal="center" vertical="center"/>
    </xf>
    <xf numFmtId="0" fontId="0" fillId="10" borderId="71" xfId="0" applyFill="1" applyBorder="1" applyAlignment="1">
      <alignment horizontal="center" vertical="center"/>
    </xf>
    <xf numFmtId="0" fontId="0" fillId="10" borderId="25" xfId="0" applyFill="1" applyBorder="1" applyAlignment="1">
      <alignment horizontal="center" vertical="center"/>
    </xf>
    <xf numFmtId="0" fontId="0" fillId="10" borderId="27" xfId="0" applyFill="1" applyBorder="1" applyAlignment="1">
      <alignment horizontal="center" vertical="center"/>
    </xf>
    <xf numFmtId="0" fontId="0" fillId="10" borderId="80" xfId="0" applyFill="1" applyBorder="1" applyAlignment="1">
      <alignment horizontal="center" vertical="center"/>
    </xf>
    <xf numFmtId="0" fontId="0" fillId="10" borderId="81" xfId="0" applyFill="1" applyBorder="1" applyAlignment="1">
      <alignment horizontal="center" vertical="center"/>
    </xf>
    <xf numFmtId="0" fontId="0" fillId="10" borderId="82" xfId="0" applyFill="1" applyBorder="1" applyAlignment="1">
      <alignment horizontal="center" vertical="center"/>
    </xf>
    <xf numFmtId="0" fontId="0" fillId="10" borderId="83" xfId="0" applyFill="1" applyBorder="1" applyAlignment="1">
      <alignment horizontal="center" vertical="center"/>
    </xf>
    <xf numFmtId="0" fontId="0" fillId="10" borderId="42" xfId="0" applyFill="1" applyBorder="1" applyAlignment="1">
      <alignment horizontal="center" vertical="center"/>
    </xf>
    <xf numFmtId="0" fontId="0" fillId="0" borderId="0" xfId="0" applyFill="1" applyBorder="1"/>
    <xf numFmtId="0" fontId="3" fillId="10" borderId="32" xfId="0" applyFont="1" applyFill="1" applyBorder="1"/>
    <xf numFmtId="0" fontId="3" fillId="10" borderId="9" xfId="0" applyFont="1" applyFill="1" applyBorder="1"/>
    <xf numFmtId="0" fontId="3" fillId="10" borderId="11" xfId="0" applyFont="1" applyFill="1" applyBorder="1"/>
    <xf numFmtId="0" fontId="2" fillId="10" borderId="5" xfId="0" applyFont="1" applyFill="1" applyBorder="1"/>
    <xf numFmtId="0" fontId="0" fillId="0" borderId="9" xfId="0" applyFill="1" applyBorder="1"/>
    <xf numFmtId="0" fontId="0" fillId="10" borderId="5" xfId="0" applyFill="1" applyBorder="1" applyAlignment="1">
      <alignment horizontal="center" vertical="center"/>
    </xf>
    <xf numFmtId="0" fontId="0" fillId="10" borderId="21" xfId="0" applyFill="1" applyBorder="1" applyAlignment="1">
      <alignment horizontal="center" vertical="center"/>
    </xf>
    <xf numFmtId="0" fontId="0" fillId="0" borderId="84" xfId="0" applyBorder="1"/>
    <xf numFmtId="0" fontId="0" fillId="0" borderId="85" xfId="0" applyBorder="1"/>
    <xf numFmtId="0" fontId="0" fillId="0" borderId="81" xfId="0" applyBorder="1"/>
    <xf numFmtId="164" fontId="0" fillId="0" borderId="45" xfId="0" applyNumberFormat="1" applyBorder="1"/>
    <xf numFmtId="164" fontId="0" fillId="0" borderId="46" xfId="0" applyNumberFormat="1" applyBorder="1"/>
    <xf numFmtId="164" fontId="0" fillId="0" borderId="47" xfId="0" applyNumberFormat="1" applyBorder="1"/>
    <xf numFmtId="0" fontId="0" fillId="10" borderId="50" xfId="0" applyFill="1" applyBorder="1" applyAlignment="1">
      <alignment horizontal="center" vertical="center" wrapText="1"/>
    </xf>
    <xf numFmtId="9" fontId="0" fillId="10" borderId="0" xfId="1" applyFont="1" applyFill="1"/>
    <xf numFmtId="0" fontId="0" fillId="10" borderId="92" xfId="0" applyFill="1" applyBorder="1"/>
    <xf numFmtId="0" fontId="0" fillId="10" borderId="93" xfId="0" applyFill="1" applyBorder="1"/>
    <xf numFmtId="0" fontId="0" fillId="10" borderId="94" xfId="0" applyFill="1" applyBorder="1"/>
    <xf numFmtId="0" fontId="0" fillId="10" borderId="95" xfId="0" applyFill="1" applyBorder="1"/>
    <xf numFmtId="0" fontId="0" fillId="10" borderId="96" xfId="0" applyFill="1" applyBorder="1"/>
    <xf numFmtId="0" fontId="0" fillId="10" borderId="97" xfId="0" applyFill="1" applyBorder="1"/>
    <xf numFmtId="0" fontId="0" fillId="10" borderId="98" xfId="0" applyFill="1" applyBorder="1"/>
    <xf numFmtId="0" fontId="0" fillId="10" borderId="99" xfId="0" applyFill="1" applyBorder="1"/>
    <xf numFmtId="0" fontId="3" fillId="10" borderId="100" xfId="0" applyFont="1" applyFill="1" applyBorder="1"/>
    <xf numFmtId="0" fontId="3" fillId="10" borderId="101" xfId="0" applyFont="1" applyFill="1" applyBorder="1"/>
    <xf numFmtId="0" fontId="3" fillId="10" borderId="98" xfId="0" applyFont="1" applyFill="1" applyBorder="1"/>
    <xf numFmtId="0" fontId="3" fillId="10" borderId="99" xfId="0" applyFont="1" applyFill="1" applyBorder="1"/>
    <xf numFmtId="0" fontId="2" fillId="10" borderId="92" xfId="0" applyFont="1" applyFill="1" applyBorder="1"/>
    <xf numFmtId="0" fontId="2" fillId="10" borderId="93" xfId="0" applyFont="1" applyFill="1" applyBorder="1"/>
    <xf numFmtId="0" fontId="2" fillId="10" borderId="94" xfId="0" applyFont="1" applyFill="1" applyBorder="1"/>
    <xf numFmtId="0" fontId="2" fillId="10" borderId="95" xfId="0" applyFont="1" applyFill="1" applyBorder="1"/>
    <xf numFmtId="0" fontId="0" fillId="10" borderId="100" xfId="0" applyFill="1" applyBorder="1"/>
    <xf numFmtId="0" fontId="0" fillId="10" borderId="101" xfId="0" applyFill="1" applyBorder="1"/>
    <xf numFmtId="0" fontId="2" fillId="10" borderId="98" xfId="0" applyFont="1" applyFill="1" applyBorder="1"/>
    <xf numFmtId="0" fontId="2" fillId="10" borderId="99" xfId="0" applyFont="1" applyFill="1" applyBorder="1"/>
    <xf numFmtId="0" fontId="0" fillId="10" borderId="102" xfId="0" applyFill="1" applyBorder="1"/>
    <xf numFmtId="0" fontId="0" fillId="10" borderId="103" xfId="0" applyFill="1" applyBorder="1"/>
    <xf numFmtId="0" fontId="0" fillId="10" borderId="104" xfId="0" applyFill="1" applyBorder="1"/>
    <xf numFmtId="0" fontId="0" fillId="10" borderId="105" xfId="0" applyFill="1" applyBorder="1"/>
    <xf numFmtId="0" fontId="0" fillId="10" borderId="106" xfId="0" applyFill="1" applyBorder="1"/>
    <xf numFmtId="0" fontId="0" fillId="10" borderId="107" xfId="0" applyFill="1" applyBorder="1"/>
    <xf numFmtId="0" fontId="3" fillId="10" borderId="92" xfId="0" applyFont="1" applyFill="1" applyBorder="1"/>
    <xf numFmtId="0" fontId="3" fillId="10" borderId="93" xfId="0" applyFont="1" applyFill="1" applyBorder="1"/>
    <xf numFmtId="0" fontId="3" fillId="10" borderId="96" xfId="0" applyFont="1" applyFill="1" applyBorder="1"/>
    <xf numFmtId="0" fontId="3" fillId="10" borderId="97" xfId="0" applyFont="1" applyFill="1" applyBorder="1"/>
    <xf numFmtId="0" fontId="3" fillId="10" borderId="94" xfId="0" applyFont="1" applyFill="1" applyBorder="1"/>
    <xf numFmtId="0" fontId="3" fillId="10" borderId="95" xfId="0" applyFont="1" applyFill="1" applyBorder="1"/>
    <xf numFmtId="0" fontId="3" fillId="10" borderId="106" xfId="0" applyFont="1" applyFill="1" applyBorder="1"/>
    <xf numFmtId="0" fontId="3" fillId="10" borderId="107" xfId="0" applyFont="1" applyFill="1" applyBorder="1"/>
    <xf numFmtId="0" fontId="2" fillId="10" borderId="96" xfId="0" applyFont="1" applyFill="1" applyBorder="1"/>
    <xf numFmtId="0" fontId="2" fillId="10" borderId="97" xfId="0" applyFont="1" applyFill="1" applyBorder="1"/>
    <xf numFmtId="0" fontId="0" fillId="10" borderId="96" xfId="0" quotePrefix="1" applyFill="1" applyBorder="1"/>
    <xf numFmtId="0" fontId="0" fillId="10" borderId="97" xfId="0" quotePrefix="1" applyFill="1" applyBorder="1"/>
    <xf numFmtId="0" fontId="2" fillId="10" borderId="106" xfId="0" applyFont="1" applyFill="1" applyBorder="1"/>
    <xf numFmtId="0" fontId="2" fillId="10" borderId="107" xfId="0" applyFont="1" applyFill="1" applyBorder="1"/>
    <xf numFmtId="0" fontId="2" fillId="10" borderId="100" xfId="0" applyFont="1" applyFill="1" applyBorder="1"/>
    <xf numFmtId="0" fontId="2" fillId="10" borderId="101" xfId="0" applyFont="1" applyFill="1" applyBorder="1"/>
    <xf numFmtId="0" fontId="0" fillId="0" borderId="108" xfId="0" applyBorder="1"/>
    <xf numFmtId="0" fontId="0" fillId="10" borderId="39" xfId="0" applyFill="1" applyBorder="1" applyAlignment="1">
      <alignment horizontal="center" vertical="center"/>
    </xf>
    <xf numFmtId="0" fontId="0" fillId="10" borderId="17" xfId="0" applyFill="1" applyBorder="1" applyAlignment="1">
      <alignment horizontal="center" vertical="center"/>
    </xf>
    <xf numFmtId="0" fontId="0" fillId="10" borderId="18" xfId="0" applyFill="1" applyBorder="1" applyAlignment="1">
      <alignment horizontal="center" vertical="center"/>
    </xf>
    <xf numFmtId="0" fontId="0" fillId="10" borderId="92" xfId="0" applyFill="1" applyBorder="1" applyAlignment="1">
      <alignment horizontal="center" vertical="center"/>
    </xf>
    <xf numFmtId="0" fontId="0" fillId="10" borderId="93" xfId="0" applyFill="1" applyBorder="1" applyAlignment="1">
      <alignment horizontal="center" vertical="center"/>
    </xf>
    <xf numFmtId="0" fontId="0" fillId="0" borderId="0" xfId="0" applyFill="1" applyBorder="1" applyAlignment="1">
      <alignment horizontal="center" vertical="center"/>
    </xf>
    <xf numFmtId="1" fontId="0" fillId="10" borderId="110" xfId="0" applyNumberFormat="1" applyFill="1" applyBorder="1" applyAlignment="1">
      <alignment horizontal="center" vertical="center"/>
    </xf>
    <xf numFmtId="1" fontId="0" fillId="10" borderId="111" xfId="0" applyNumberFormat="1" applyFill="1" applyBorder="1" applyAlignment="1">
      <alignment horizontal="center" vertical="center"/>
    </xf>
    <xf numFmtId="1" fontId="0" fillId="10" borderId="113" xfId="0" applyNumberFormat="1" applyFill="1" applyBorder="1" applyAlignment="1">
      <alignment horizontal="center" vertical="center"/>
    </xf>
    <xf numFmtId="1" fontId="0" fillId="10" borderId="114" xfId="0" applyNumberFormat="1" applyFill="1" applyBorder="1" applyAlignment="1">
      <alignment horizontal="center" vertical="center"/>
    </xf>
    <xf numFmtId="1" fontId="0" fillId="10" borderId="116" xfId="0" applyNumberFormat="1" applyFill="1" applyBorder="1" applyAlignment="1">
      <alignment horizontal="center" vertical="center"/>
    </xf>
    <xf numFmtId="1" fontId="0" fillId="10" borderId="117" xfId="0" applyNumberFormat="1" applyFill="1" applyBorder="1" applyAlignment="1">
      <alignment horizontal="center" vertical="center"/>
    </xf>
    <xf numFmtId="1" fontId="0" fillId="10" borderId="118" xfId="0" applyNumberFormat="1" applyFill="1" applyBorder="1" applyAlignment="1">
      <alignment horizontal="center" vertical="center"/>
    </xf>
    <xf numFmtId="1" fontId="0" fillId="10" borderId="36" xfId="0" applyNumberFormat="1" applyFill="1" applyBorder="1" applyAlignment="1">
      <alignment horizontal="center" vertical="center"/>
    </xf>
    <xf numFmtId="1" fontId="0" fillId="0" borderId="109" xfId="0" applyNumberFormat="1" applyBorder="1"/>
    <xf numFmtId="1" fontId="0" fillId="0" borderId="112" xfId="0" applyNumberFormat="1" applyBorder="1"/>
    <xf numFmtId="1" fontId="0" fillId="0" borderId="115" xfId="0" applyNumberFormat="1" applyBorder="1"/>
    <xf numFmtId="0" fontId="0" fillId="0" borderId="39" xfId="0" applyFill="1" applyBorder="1" applyAlignment="1">
      <alignment horizontal="center" vertical="center"/>
    </xf>
    <xf numFmtId="0" fontId="0" fillId="0" borderId="88" xfId="0" applyFill="1" applyBorder="1" applyAlignment="1">
      <alignment horizontal="center" vertical="center"/>
    </xf>
    <xf numFmtId="0" fontId="0" fillId="0" borderId="89" xfId="0" applyFill="1" applyBorder="1"/>
    <xf numFmtId="0" fontId="0" fillId="0" borderId="90" xfId="0" applyFill="1" applyBorder="1" applyAlignment="1">
      <alignment horizontal="center" vertical="center"/>
    </xf>
    <xf numFmtId="0" fontId="0" fillId="0" borderId="91" xfId="0" applyFill="1" applyBorder="1"/>
    <xf numFmtId="0" fontId="0" fillId="0" borderId="40"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10" borderId="14" xfId="0" applyFill="1" applyBorder="1" applyAlignment="1">
      <alignment horizontal="center" vertical="center"/>
    </xf>
    <xf numFmtId="0" fontId="0" fillId="10" borderId="119" xfId="0" applyFill="1" applyBorder="1"/>
    <xf numFmtId="0" fontId="0" fillId="10" borderId="120" xfId="0" applyFill="1" applyBorder="1"/>
    <xf numFmtId="0" fontId="0" fillId="10" borderId="121" xfId="0" applyFill="1" applyBorder="1"/>
    <xf numFmtId="0" fontId="3" fillId="10" borderId="122" xfId="0" applyFont="1" applyFill="1" applyBorder="1"/>
    <xf numFmtId="0" fontId="3" fillId="10" borderId="121" xfId="0" applyFont="1" applyFill="1" applyBorder="1"/>
    <xf numFmtId="0" fontId="0" fillId="10" borderId="31" xfId="0" applyFill="1" applyBorder="1"/>
    <xf numFmtId="0" fontId="0" fillId="10" borderId="122" xfId="0" applyFill="1" applyBorder="1"/>
    <xf numFmtId="0" fontId="0" fillId="10" borderId="41" xfId="0" applyFill="1" applyBorder="1"/>
    <xf numFmtId="0" fontId="0" fillId="10" borderId="123" xfId="0" applyFill="1" applyBorder="1"/>
    <xf numFmtId="0" fontId="3" fillId="10" borderId="119" xfId="0" applyFont="1" applyFill="1" applyBorder="1"/>
    <xf numFmtId="0" fontId="3" fillId="10" borderId="120" xfId="0" applyFont="1" applyFill="1" applyBorder="1"/>
    <xf numFmtId="0" fontId="3" fillId="10" borderId="31" xfId="0" applyFont="1" applyFill="1" applyBorder="1"/>
    <xf numFmtId="164" fontId="0" fillId="0" borderId="0" xfId="0" applyNumberFormat="1"/>
    <xf numFmtId="164" fontId="0" fillId="0" borderId="0" xfId="1" applyNumberFormat="1" applyFont="1"/>
    <xf numFmtId="1" fontId="0" fillId="10" borderId="16" xfId="0" applyNumberFormat="1" applyFill="1" applyBorder="1"/>
    <xf numFmtId="1" fontId="0" fillId="10" borderId="17" xfId="0" applyNumberFormat="1" applyFill="1" applyBorder="1"/>
    <xf numFmtId="1" fontId="0" fillId="10" borderId="92" xfId="0" applyNumberFormat="1" applyFill="1" applyBorder="1"/>
    <xf numFmtId="1" fontId="0" fillId="10" borderId="93" xfId="0" applyNumberFormat="1" applyFill="1" applyBorder="1"/>
    <xf numFmtId="1" fontId="0" fillId="10" borderId="18" xfId="0" applyNumberFormat="1" applyFill="1" applyBorder="1"/>
    <xf numFmtId="1" fontId="0" fillId="10" borderId="9" xfId="0" applyNumberFormat="1" applyFill="1" applyBorder="1"/>
    <xf numFmtId="1" fontId="0" fillId="10" borderId="0" xfId="0" applyNumberFormat="1" applyFill="1" applyBorder="1"/>
    <xf numFmtId="1" fontId="0" fillId="10" borderId="94" xfId="0" applyNumberFormat="1" applyFill="1" applyBorder="1"/>
    <xf numFmtId="1" fontId="0" fillId="10" borderId="95" xfId="0" applyNumberFormat="1" applyFill="1" applyBorder="1"/>
    <xf numFmtId="1" fontId="0" fillId="10" borderId="3" xfId="0" applyNumberFormat="1" applyFill="1" applyBorder="1"/>
    <xf numFmtId="1" fontId="0" fillId="10" borderId="1" xfId="0" applyNumberFormat="1" applyFill="1" applyBorder="1"/>
    <xf numFmtId="1" fontId="0" fillId="10" borderId="2" xfId="0" applyNumberFormat="1" applyFill="1" applyBorder="1"/>
    <xf numFmtId="1" fontId="0" fillId="10" borderId="96" xfId="0" applyNumberFormat="1" applyFill="1" applyBorder="1"/>
    <xf numFmtId="1" fontId="0" fillId="10" borderId="97" xfId="0" applyNumberFormat="1" applyFill="1" applyBorder="1"/>
    <xf numFmtId="1" fontId="0" fillId="10" borderId="13" xfId="0" applyNumberFormat="1" applyFill="1" applyBorder="1"/>
    <xf numFmtId="1" fontId="0" fillId="10" borderId="14" xfId="0" applyNumberFormat="1" applyFill="1" applyBorder="1"/>
    <xf numFmtId="1" fontId="0" fillId="10" borderId="98" xfId="0" applyNumberFormat="1" applyFill="1" applyBorder="1"/>
    <xf numFmtId="1" fontId="0" fillId="10" borderId="99" xfId="0" applyNumberFormat="1" applyFill="1" applyBorder="1"/>
    <xf numFmtId="1" fontId="0" fillId="10" borderId="12" xfId="0" applyNumberFormat="1" applyFill="1" applyBorder="1"/>
    <xf numFmtId="1" fontId="3" fillId="10" borderId="20" xfId="0" applyNumberFormat="1" applyFont="1" applyFill="1" applyBorder="1"/>
    <xf numFmtId="1" fontId="3" fillId="10" borderId="21" xfId="0" applyNumberFormat="1" applyFont="1" applyFill="1" applyBorder="1"/>
    <xf numFmtId="1" fontId="3" fillId="10" borderId="100" xfId="0" applyNumberFormat="1" applyFont="1" applyFill="1" applyBorder="1"/>
    <xf numFmtId="1" fontId="3" fillId="10" borderId="101" xfId="0" applyNumberFormat="1" applyFont="1" applyFill="1" applyBorder="1"/>
    <xf numFmtId="1" fontId="3" fillId="10" borderId="22" xfId="0" applyNumberFormat="1" applyFont="1" applyFill="1" applyBorder="1"/>
    <xf numFmtId="1" fontId="3" fillId="10" borderId="13" xfId="0" applyNumberFormat="1" applyFont="1" applyFill="1" applyBorder="1"/>
    <xf numFmtId="1" fontId="3" fillId="10" borderId="14" xfId="0" applyNumberFormat="1" applyFont="1" applyFill="1" applyBorder="1"/>
    <xf numFmtId="1" fontId="3" fillId="10" borderId="98" xfId="0" applyNumberFormat="1" applyFont="1" applyFill="1" applyBorder="1"/>
    <xf numFmtId="1" fontId="3" fillId="10" borderId="99" xfId="0" applyNumberFormat="1" applyFont="1" applyFill="1" applyBorder="1"/>
    <xf numFmtId="1" fontId="3" fillId="10" borderId="12" xfId="0" applyNumberFormat="1" applyFont="1" applyFill="1" applyBorder="1"/>
    <xf numFmtId="1" fontId="0" fillId="10" borderId="11" xfId="0" applyNumberFormat="1" applyFill="1" applyBorder="1"/>
    <xf numFmtId="1" fontId="0" fillId="10" borderId="20" xfId="0" applyNumberFormat="1" applyFill="1" applyBorder="1"/>
    <xf numFmtId="1" fontId="0" fillId="10" borderId="21" xfId="0" applyNumberFormat="1" applyFill="1" applyBorder="1"/>
    <xf numFmtId="1" fontId="0" fillId="10" borderId="100" xfId="0" applyNumberFormat="1" applyFill="1" applyBorder="1"/>
    <xf numFmtId="1" fontId="0" fillId="10" borderId="101" xfId="0" applyNumberFormat="1" applyFill="1" applyBorder="1"/>
    <xf numFmtId="1" fontId="0" fillId="10" borderId="22" xfId="0" applyNumberFormat="1" applyFill="1" applyBorder="1"/>
    <xf numFmtId="1" fontId="2" fillId="10" borderId="2" xfId="0" applyNumberFormat="1" applyFont="1" applyFill="1" applyBorder="1"/>
    <xf numFmtId="1" fontId="2" fillId="10" borderId="96" xfId="0" applyNumberFormat="1" applyFont="1" applyFill="1" applyBorder="1"/>
    <xf numFmtId="1" fontId="2" fillId="10" borderId="97" xfId="0" applyNumberFormat="1" applyFont="1" applyFill="1" applyBorder="1"/>
    <xf numFmtId="1" fontId="0" fillId="10" borderId="24" xfId="0" applyNumberFormat="1" applyFill="1" applyBorder="1"/>
    <xf numFmtId="1" fontId="0" fillId="10" borderId="25" xfId="0" applyNumberFormat="1" applyFill="1" applyBorder="1"/>
    <xf numFmtId="1" fontId="0" fillId="10" borderId="102" xfId="0" applyNumberFormat="1" applyFill="1" applyBorder="1"/>
    <xf numFmtId="1" fontId="0" fillId="10" borderId="103" xfId="0" applyNumberFormat="1" applyFill="1" applyBorder="1"/>
    <xf numFmtId="1" fontId="0" fillId="10" borderId="26" xfId="0" applyNumberFormat="1" applyFill="1" applyBorder="1"/>
    <xf numFmtId="1" fontId="0" fillId="10" borderId="49" xfId="0" applyNumberFormat="1" applyFill="1" applyBorder="1"/>
    <xf numFmtId="1" fontId="0" fillId="10" borderId="43" xfId="0" applyNumberFormat="1" applyFill="1" applyBorder="1"/>
    <xf numFmtId="1" fontId="0" fillId="10" borderId="104" xfId="0" applyNumberFormat="1" applyFill="1" applyBorder="1"/>
    <xf numFmtId="1" fontId="0" fillId="10" borderId="105" xfId="0" applyNumberFormat="1" applyFill="1" applyBorder="1"/>
    <xf numFmtId="1" fontId="0" fillId="10" borderId="48" xfId="0" applyNumberFormat="1" applyFill="1" applyBorder="1"/>
    <xf numFmtId="0" fontId="7" fillId="0" borderId="0" xfId="0" applyFont="1" applyAlignment="1">
      <alignment horizontal="center" vertical="center" wrapText="1"/>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50" xfId="0" applyFill="1" applyBorder="1" applyAlignment="1">
      <alignment horizontal="center" vertical="center" wrapText="1"/>
    </xf>
    <xf numFmtId="0" fontId="0" fillId="10" borderId="84" xfId="0" applyFill="1" applyBorder="1" applyAlignment="1">
      <alignment horizontal="center" vertical="center"/>
    </xf>
    <xf numFmtId="0" fontId="0" fillId="0" borderId="85" xfId="0" applyBorder="1" applyAlignment="1">
      <alignment horizontal="center" vertical="center"/>
    </xf>
    <xf numFmtId="0" fontId="0" fillId="0" borderId="81" xfId="0" applyBorder="1" applyAlignment="1">
      <alignment horizontal="center" vertical="center"/>
    </xf>
    <xf numFmtId="0" fontId="0" fillId="10" borderId="7" xfId="0" applyFill="1" applyBorder="1" applyAlignment="1">
      <alignment horizontal="center" vertical="center"/>
    </xf>
    <xf numFmtId="0" fontId="0" fillId="10" borderId="8" xfId="0" applyFill="1" applyBorder="1" applyAlignment="1">
      <alignment horizontal="center" vertical="center"/>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15" xfId="0" applyFill="1" applyBorder="1" applyAlignment="1">
      <alignment horizontal="center" vertical="center"/>
    </xf>
    <xf numFmtId="0" fontId="0" fillId="10" borderId="19" xfId="0" applyFill="1" applyBorder="1" applyAlignment="1">
      <alignment horizontal="center" vertical="center"/>
    </xf>
    <xf numFmtId="0" fontId="0" fillId="10" borderId="32" xfId="0" applyFill="1" applyBorder="1" applyAlignment="1">
      <alignment horizontal="center" vertical="center"/>
    </xf>
    <xf numFmtId="0" fontId="0" fillId="10" borderId="3" xfId="0" applyFill="1" applyBorder="1" applyAlignment="1">
      <alignment horizontal="center" vertical="center"/>
    </xf>
    <xf numFmtId="0" fontId="0" fillId="10" borderId="12" xfId="0" applyFill="1" applyBorder="1" applyAlignment="1">
      <alignment horizontal="center" vertical="center"/>
    </xf>
    <xf numFmtId="0" fontId="0" fillId="6" borderId="9" xfId="0" applyFill="1" applyBorder="1" applyAlignment="1">
      <alignment horizontal="center" vertical="center"/>
    </xf>
    <xf numFmtId="0" fontId="0" fillId="6" borderId="0" xfId="0" applyFill="1" applyBorder="1" applyAlignment="1">
      <alignment horizontal="center" vertical="center"/>
    </xf>
    <xf numFmtId="0" fontId="0" fillId="6" borderId="11" xfId="0" applyFill="1" applyBorder="1" applyAlignment="1">
      <alignment horizontal="center" vertical="center"/>
    </xf>
    <xf numFmtId="0" fontId="0" fillId="10" borderId="30" xfId="0" applyFill="1" applyBorder="1" applyAlignment="1">
      <alignment horizontal="center" vertical="center"/>
    </xf>
    <xf numFmtId="0" fontId="0" fillId="7" borderId="9" xfId="0" applyFill="1" applyBorder="1" applyAlignment="1">
      <alignment horizontal="center" vertical="center"/>
    </xf>
    <xf numFmtId="0" fontId="0" fillId="7" borderId="0" xfId="0" applyFill="1" applyBorder="1" applyAlignment="1">
      <alignment horizontal="center" vertical="center"/>
    </xf>
    <xf numFmtId="0" fontId="0" fillId="7" borderId="11" xfId="0" applyFill="1" applyBorder="1" applyAlignment="1">
      <alignment horizontal="center" vertical="center"/>
    </xf>
    <xf numFmtId="0" fontId="0" fillId="0" borderId="30" xfId="0" applyBorder="1" applyAlignment="1">
      <alignment horizontal="center" vertical="center"/>
    </xf>
    <xf numFmtId="0" fontId="0" fillId="0" borderId="19" xfId="0" applyBorder="1" applyAlignment="1">
      <alignment horizontal="center" vertical="center"/>
    </xf>
    <xf numFmtId="0" fontId="0" fillId="8" borderId="9" xfId="0" applyFill="1" applyBorder="1" applyAlignment="1">
      <alignment horizontal="center" vertical="center"/>
    </xf>
    <xf numFmtId="0" fontId="0" fillId="8" borderId="0" xfId="0" applyFill="1" applyBorder="1" applyAlignment="1">
      <alignment horizontal="center" vertical="center"/>
    </xf>
    <xf numFmtId="0" fontId="0" fillId="8" borderId="11" xfId="0" applyFill="1" applyBorder="1" applyAlignment="1">
      <alignment horizontal="center"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1" xfId="0" applyFill="1" applyBorder="1" applyAlignment="1">
      <alignment horizontal="center" vertical="center"/>
    </xf>
    <xf numFmtId="0" fontId="0" fillId="8" borderId="1"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0" fontId="0" fillId="7" borderId="1" xfId="0" applyFill="1" applyBorder="1" applyAlignment="1">
      <alignment horizontal="center"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0" fillId="6" borderId="1" xfId="0" applyFill="1" applyBorder="1" applyAlignment="1">
      <alignment horizontal="center" vertical="center"/>
    </xf>
    <xf numFmtId="0" fontId="0" fillId="6" borderId="2" xfId="0" applyFill="1" applyBorder="1" applyAlignment="1">
      <alignment horizontal="center" vertical="center"/>
    </xf>
    <xf numFmtId="0" fontId="0" fillId="6" borderId="3" xfId="0" applyFill="1" applyBorder="1" applyAlignment="1">
      <alignment horizontal="center" vertical="center"/>
    </xf>
    <xf numFmtId="0" fontId="0" fillId="5" borderId="1" xfId="0"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1" fillId="4" borderId="1"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1" fontId="0" fillId="5" borderId="9" xfId="0" applyNumberFormat="1" applyFill="1" applyBorder="1" applyAlignment="1">
      <alignment horizontal="center" vertical="center"/>
    </xf>
    <xf numFmtId="1" fontId="0" fillId="5" borderId="0" xfId="0" applyNumberFormat="1" applyFill="1" applyBorder="1" applyAlignment="1">
      <alignment horizontal="center" vertical="center"/>
    </xf>
    <xf numFmtId="1" fontId="0" fillId="5" borderId="11" xfId="0" applyNumberFormat="1" applyFill="1" applyBorder="1" applyAlignment="1">
      <alignment horizontal="center" vertical="center"/>
    </xf>
    <xf numFmtId="0" fontId="1" fillId="3" borderId="9" xfId="0" applyFont="1" applyFill="1" applyBorder="1" applyAlignment="1">
      <alignment horizontal="center" vertical="center"/>
    </xf>
    <xf numFmtId="0" fontId="1" fillId="3" borderId="0" xfId="0" applyFont="1" applyFill="1" applyBorder="1" applyAlignment="1">
      <alignment horizontal="center" vertical="center"/>
    </xf>
    <xf numFmtId="0" fontId="1" fillId="3" borderId="11" xfId="0" applyFont="1" applyFill="1" applyBorder="1" applyAlignment="1">
      <alignment horizontal="center" vertical="center"/>
    </xf>
    <xf numFmtId="1" fontId="1" fillId="4" borderId="9" xfId="0" applyNumberFormat="1" applyFont="1" applyFill="1" applyBorder="1" applyAlignment="1">
      <alignment horizontal="center" vertical="center"/>
    </xf>
    <xf numFmtId="1" fontId="1" fillId="4" borderId="0" xfId="0" applyNumberFormat="1" applyFont="1" applyFill="1" applyBorder="1" applyAlignment="1">
      <alignment horizontal="center" vertical="center"/>
    </xf>
    <xf numFmtId="1" fontId="1" fillId="4" borderId="11" xfId="0" applyNumberFormat="1" applyFont="1" applyFill="1" applyBorder="1" applyAlignment="1">
      <alignment horizontal="center" vertical="center"/>
    </xf>
    <xf numFmtId="0" fontId="0" fillId="10" borderId="79" xfId="0" applyFill="1" applyBorder="1" applyAlignment="1">
      <alignment horizontal="center" vertical="center"/>
    </xf>
    <xf numFmtId="0" fontId="0" fillId="0" borderId="8" xfId="0" applyBorder="1" applyAlignment="1">
      <alignment horizontal="center" vertical="center"/>
    </xf>
    <xf numFmtId="0" fontId="0" fillId="10" borderId="14" xfId="0" applyFill="1" applyBorder="1" applyAlignment="1">
      <alignment horizontal="center" vertical="center"/>
    </xf>
    <xf numFmtId="0" fontId="0" fillId="0" borderId="0" xfId="0" applyAlignment="1">
      <alignment horizontal="center"/>
    </xf>
    <xf numFmtId="0" fontId="0" fillId="10" borderId="0" xfId="0" applyFill="1" applyAlignment="1">
      <alignment horizontal="center"/>
    </xf>
    <xf numFmtId="0" fontId="0" fillId="6" borderId="50" xfId="0" applyFill="1" applyBorder="1" applyAlignment="1">
      <alignment horizontal="center" vertical="center" wrapText="1"/>
    </xf>
    <xf numFmtId="0" fontId="0" fillId="6" borderId="51" xfId="0" applyFill="1" applyBorder="1" applyAlignment="1">
      <alignment horizontal="center" vertical="center" wrapText="1"/>
    </xf>
    <xf numFmtId="0" fontId="0" fillId="6" borderId="58" xfId="0" applyFill="1" applyBorder="1" applyAlignment="1">
      <alignment horizontal="center" vertical="center" wrapText="1"/>
    </xf>
    <xf numFmtId="0" fontId="0" fillId="6" borderId="59" xfId="0" applyFill="1" applyBorder="1" applyAlignment="1">
      <alignment horizontal="center" vertical="center" wrapText="1"/>
    </xf>
    <xf numFmtId="0" fontId="0" fillId="6" borderId="86" xfId="0" applyFill="1" applyBorder="1" applyAlignment="1">
      <alignment horizontal="center" vertical="center" wrapText="1"/>
    </xf>
    <xf numFmtId="0" fontId="0" fillId="6" borderId="87" xfId="0" applyFill="1" applyBorder="1" applyAlignment="1">
      <alignment horizontal="center" vertical="center" wrapText="1"/>
    </xf>
    <xf numFmtId="0" fontId="0" fillId="16" borderId="50" xfId="0" applyFill="1" applyBorder="1" applyAlignment="1">
      <alignment horizontal="center" vertical="center" wrapText="1"/>
    </xf>
    <xf numFmtId="0" fontId="0" fillId="16" borderId="51" xfId="0" applyFill="1" applyBorder="1" applyAlignment="1">
      <alignment horizontal="center" vertical="center" wrapText="1"/>
    </xf>
    <xf numFmtId="0" fontId="0" fillId="16" borderId="58" xfId="0" applyFill="1" applyBorder="1" applyAlignment="1">
      <alignment horizontal="center" vertical="center" wrapText="1"/>
    </xf>
    <xf numFmtId="0" fontId="0" fillId="16" borderId="59" xfId="0" applyFill="1" applyBorder="1" applyAlignment="1">
      <alignment horizontal="center" vertical="center" wrapText="1"/>
    </xf>
    <xf numFmtId="0" fontId="0" fillId="11" borderId="50" xfId="0" applyFill="1" applyBorder="1" applyAlignment="1">
      <alignment horizontal="center" vertical="center" wrapText="1"/>
    </xf>
    <xf numFmtId="0" fontId="0" fillId="11" borderId="51" xfId="0" applyFill="1" applyBorder="1" applyAlignment="1">
      <alignment horizontal="center" vertical="center" wrapText="1"/>
    </xf>
    <xf numFmtId="0" fontId="0" fillId="11" borderId="58" xfId="0" applyFill="1" applyBorder="1" applyAlignment="1">
      <alignment horizontal="center" vertical="center" wrapText="1"/>
    </xf>
    <xf numFmtId="0" fontId="0" fillId="11" borderId="59" xfId="0" applyFill="1" applyBorder="1" applyAlignment="1">
      <alignment horizontal="center" vertical="center" wrapText="1"/>
    </xf>
    <xf numFmtId="0" fontId="4" fillId="11" borderId="51" xfId="0" applyFont="1" applyFill="1" applyBorder="1" applyAlignment="1">
      <alignment horizontal="center" vertical="center" wrapText="1"/>
    </xf>
    <xf numFmtId="0" fontId="4" fillId="11" borderId="58" xfId="0" applyFont="1" applyFill="1" applyBorder="1" applyAlignment="1">
      <alignment horizontal="center" vertical="center" wrapText="1"/>
    </xf>
    <xf numFmtId="0" fontId="4" fillId="11" borderId="59" xfId="0" applyFont="1" applyFill="1" applyBorder="1" applyAlignment="1">
      <alignment horizontal="center" vertical="center" wrapText="1"/>
    </xf>
    <xf numFmtId="0" fontId="0" fillId="10" borderId="50" xfId="0" applyFill="1" applyBorder="1" applyAlignment="1">
      <alignment horizontal="center" vertical="center" wrapText="1"/>
    </xf>
    <xf numFmtId="0" fontId="0" fillId="0" borderId="51" xfId="0" applyBorder="1" applyAlignment="1">
      <alignment horizontal="center" vertical="center" wrapText="1"/>
    </xf>
    <xf numFmtId="0" fontId="0" fillId="0" borderId="58" xfId="0" applyBorder="1" applyAlignment="1">
      <alignment horizontal="center" vertical="center" wrapText="1"/>
    </xf>
    <xf numFmtId="0" fontId="0" fillId="0" borderId="59" xfId="0" applyBorder="1" applyAlignment="1">
      <alignment horizontal="center" vertical="center" wrapText="1"/>
    </xf>
    <xf numFmtId="0" fontId="4" fillId="6" borderId="51" xfId="0" applyFont="1" applyFill="1" applyBorder="1" applyAlignment="1">
      <alignment horizontal="center" vertical="center" wrapText="1"/>
    </xf>
    <xf numFmtId="0" fontId="4" fillId="6" borderId="58" xfId="0" applyFont="1" applyFill="1" applyBorder="1" applyAlignment="1">
      <alignment horizontal="center" vertical="center" wrapText="1"/>
    </xf>
    <xf numFmtId="0" fontId="4" fillId="6" borderId="59" xfId="0" applyFont="1" applyFill="1" applyBorder="1" applyAlignment="1">
      <alignment horizontal="center" vertical="center" wrapText="1"/>
    </xf>
    <xf numFmtId="0" fontId="4" fillId="15" borderId="60" xfId="0" applyFont="1" applyFill="1" applyBorder="1" applyAlignment="1">
      <alignment horizontal="center" vertical="center" wrapText="1"/>
    </xf>
    <xf numFmtId="0" fontId="4" fillId="15" borderId="61" xfId="0" applyFont="1" applyFill="1" applyBorder="1" applyAlignment="1">
      <alignment horizontal="center" vertical="center" wrapText="1"/>
    </xf>
    <xf numFmtId="0" fontId="4" fillId="15" borderId="50" xfId="0" applyFont="1" applyFill="1" applyBorder="1" applyAlignment="1">
      <alignment horizontal="center" vertical="center" wrapText="1"/>
    </xf>
    <xf numFmtId="0" fontId="4" fillId="15" borderId="51" xfId="0" applyFont="1" applyFill="1" applyBorder="1" applyAlignment="1">
      <alignment horizontal="center" vertical="center" wrapText="1"/>
    </xf>
    <xf numFmtId="0" fontId="4" fillId="15" borderId="58" xfId="0" applyFont="1" applyFill="1" applyBorder="1" applyAlignment="1">
      <alignment horizontal="center" vertical="center" wrapText="1"/>
    </xf>
    <xf numFmtId="0" fontId="4" fillId="15" borderId="59" xfId="0" applyFont="1" applyFill="1" applyBorder="1" applyAlignment="1">
      <alignment horizontal="center" vertical="center" wrapText="1"/>
    </xf>
    <xf numFmtId="0" fontId="0" fillId="11" borderId="50" xfId="0" applyFont="1" applyFill="1" applyBorder="1" applyAlignment="1">
      <alignment horizontal="center" vertical="center" wrapText="1"/>
    </xf>
    <xf numFmtId="0" fontId="0" fillId="11" borderId="5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0" fillId="11" borderId="59" xfId="0" applyFont="1" applyFill="1" applyBorder="1" applyAlignment="1">
      <alignment horizontal="center" vertical="center" wrapText="1"/>
    </xf>
    <xf numFmtId="0" fontId="4" fillId="16" borderId="50" xfId="0" applyFont="1" applyFill="1" applyBorder="1" applyAlignment="1">
      <alignment horizontal="center" vertical="center" wrapText="1"/>
    </xf>
    <xf numFmtId="0" fontId="4" fillId="16" borderId="51" xfId="0" applyFont="1" applyFill="1" applyBorder="1" applyAlignment="1">
      <alignment horizontal="center" vertical="center" wrapText="1"/>
    </xf>
    <xf numFmtId="0" fontId="4" fillId="16" borderId="58" xfId="0" applyFont="1" applyFill="1" applyBorder="1" applyAlignment="1">
      <alignment horizontal="center" vertical="center" wrapText="1"/>
    </xf>
    <xf numFmtId="0" fontId="4" fillId="16" borderId="59" xfId="0" applyFont="1" applyFill="1" applyBorder="1" applyAlignment="1">
      <alignment horizontal="center" vertical="center" wrapText="1"/>
    </xf>
    <xf numFmtId="0" fontId="0" fillId="6" borderId="60" xfId="0" applyFill="1" applyBorder="1" applyAlignment="1">
      <alignment horizontal="center" vertical="center" wrapText="1"/>
    </xf>
    <xf numFmtId="0" fontId="4" fillId="6" borderId="60" xfId="0" applyFont="1" applyFill="1" applyBorder="1" applyAlignment="1">
      <alignment horizontal="center" vertical="center" wrapText="1"/>
    </xf>
    <xf numFmtId="0" fontId="4" fillId="6" borderId="61" xfId="0" applyFont="1" applyFill="1" applyBorder="1" applyAlignment="1">
      <alignment horizontal="center" vertical="center" wrapText="1"/>
    </xf>
    <xf numFmtId="0" fontId="0" fillId="3" borderId="0" xfId="0" applyFill="1" applyBorder="1" applyAlignment="1">
      <alignment horizontal="center" vertical="center" wrapText="1"/>
    </xf>
    <xf numFmtId="0" fontId="0" fillId="10" borderId="60" xfId="0" applyFont="1" applyFill="1" applyBorder="1" applyAlignment="1">
      <alignment horizontal="center" vertical="center" wrapText="1"/>
    </xf>
    <xf numFmtId="0" fontId="0" fillId="10" borderId="61"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0" fillId="12" borderId="60" xfId="0" applyFill="1" applyBorder="1" applyAlignment="1">
      <alignment horizontal="center" vertical="center" wrapText="1"/>
    </xf>
    <xf numFmtId="0" fontId="0" fillId="12" borderId="6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12" borderId="0" xfId="0" applyFill="1" applyBorder="1" applyAlignment="1">
      <alignment horizontal="center" vertical="center" wrapText="1"/>
    </xf>
    <xf numFmtId="0" fontId="0" fillId="3" borderId="60" xfId="0" applyFill="1" applyBorder="1" applyAlignment="1">
      <alignment horizontal="center" vertical="center" wrapText="1"/>
    </xf>
    <xf numFmtId="0" fontId="0" fillId="3" borderId="61" xfId="0" applyFill="1" applyBorder="1" applyAlignment="1">
      <alignment horizontal="center" vertical="center" wrapText="1"/>
    </xf>
    <xf numFmtId="0" fontId="0" fillId="11" borderId="60" xfId="0" applyFill="1" applyBorder="1" applyAlignment="1">
      <alignment horizontal="center" vertical="center" wrapText="1"/>
    </xf>
    <xf numFmtId="0" fontId="4" fillId="11" borderId="60" xfId="0" applyFont="1" applyFill="1" applyBorder="1" applyAlignment="1">
      <alignment horizontal="center" vertical="center" wrapText="1"/>
    </xf>
    <xf numFmtId="0" fontId="4" fillId="11" borderId="61" xfId="0" applyFont="1" applyFill="1" applyBorder="1" applyAlignment="1">
      <alignment horizontal="center" vertical="center" wrapText="1"/>
    </xf>
    <xf numFmtId="0" fontId="0" fillId="11" borderId="52" xfId="0" applyFill="1" applyBorder="1" applyAlignment="1">
      <alignment horizontal="center" vertical="center" wrapText="1"/>
    </xf>
    <xf numFmtId="0" fontId="4" fillId="11" borderId="53" xfId="0" applyFont="1" applyFill="1" applyBorder="1" applyAlignment="1">
      <alignment horizontal="center" vertical="center" wrapText="1"/>
    </xf>
    <xf numFmtId="0" fontId="4" fillId="11" borderId="52" xfId="0" applyFont="1" applyFill="1" applyBorder="1" applyAlignment="1">
      <alignment horizontal="center" vertical="center" wrapText="1"/>
    </xf>
    <xf numFmtId="0" fontId="4" fillId="15" borderId="52" xfId="0" applyFont="1" applyFill="1" applyBorder="1" applyAlignment="1">
      <alignment horizontal="center" vertical="center" wrapText="1"/>
    </xf>
    <xf numFmtId="0" fontId="4" fillId="15" borderId="53" xfId="0" applyFont="1" applyFill="1" applyBorder="1" applyAlignment="1">
      <alignment horizontal="center" vertical="center" wrapText="1"/>
    </xf>
    <xf numFmtId="0" fontId="0" fillId="11" borderId="0" xfId="0" applyFill="1" applyBorder="1" applyAlignment="1">
      <alignment horizontal="center" vertical="center" wrapText="1"/>
    </xf>
    <xf numFmtId="0" fontId="4" fillId="11" borderId="0" xfId="0" applyFont="1" applyFill="1" applyBorder="1" applyAlignment="1">
      <alignment horizontal="center" vertical="center" wrapText="1"/>
    </xf>
    <xf numFmtId="0" fontId="0" fillId="14" borderId="50" xfId="0" applyFill="1" applyBorder="1" applyAlignment="1">
      <alignment horizontal="center" vertical="center" wrapText="1"/>
    </xf>
    <xf numFmtId="0" fontId="0" fillId="14" borderId="51" xfId="0" applyFont="1" applyFill="1" applyBorder="1" applyAlignment="1">
      <alignment horizontal="center" vertical="center" wrapText="1"/>
    </xf>
    <xf numFmtId="0" fontId="0" fillId="14" borderId="58" xfId="0" applyFont="1" applyFill="1" applyBorder="1" applyAlignment="1">
      <alignment horizontal="center" vertical="center" wrapText="1"/>
    </xf>
    <xf numFmtId="0" fontId="0" fillId="14" borderId="59" xfId="0" applyFont="1" applyFill="1" applyBorder="1" applyAlignment="1">
      <alignment horizontal="center" vertical="center" wrapText="1"/>
    </xf>
    <xf numFmtId="0" fontId="0" fillId="12" borderId="52" xfId="0" applyFill="1" applyBorder="1" applyAlignment="1">
      <alignment horizontal="center" vertical="center" wrapText="1"/>
    </xf>
    <xf numFmtId="0" fontId="0" fillId="12" borderId="53" xfId="0" applyFill="1" applyBorder="1" applyAlignment="1">
      <alignment horizontal="center" vertical="center" wrapText="1"/>
    </xf>
    <xf numFmtId="0" fontId="5" fillId="10" borderId="54" xfId="0" applyFont="1" applyFill="1" applyBorder="1" applyAlignment="1">
      <alignment horizontal="center" vertical="center" wrapText="1"/>
    </xf>
    <xf numFmtId="0" fontId="5" fillId="10" borderId="55" xfId="0" applyFont="1" applyFill="1" applyBorder="1" applyAlignment="1">
      <alignment horizontal="center" vertical="center" wrapText="1"/>
    </xf>
    <xf numFmtId="0" fontId="5" fillId="10" borderId="56" xfId="0" applyFont="1" applyFill="1" applyBorder="1" applyAlignment="1">
      <alignment horizontal="center" vertical="center" wrapText="1"/>
    </xf>
    <xf numFmtId="0" fontId="5" fillId="10" borderId="57" xfId="0" applyFont="1" applyFill="1" applyBorder="1" applyAlignment="1">
      <alignment horizontal="center" vertical="center" wrapText="1"/>
    </xf>
    <xf numFmtId="0" fontId="4" fillId="14" borderId="51" xfId="0" applyFont="1" applyFill="1" applyBorder="1" applyAlignment="1">
      <alignment horizontal="center" vertical="center" wrapText="1"/>
    </xf>
    <xf numFmtId="0" fontId="4" fillId="14" borderId="58" xfId="0" applyFont="1" applyFill="1" applyBorder="1" applyAlignment="1">
      <alignment horizontal="center" vertical="center" wrapText="1"/>
    </xf>
    <xf numFmtId="0" fontId="4" fillId="14" borderId="59" xfId="0" applyFont="1" applyFill="1" applyBorder="1" applyAlignment="1">
      <alignment horizontal="center" vertical="center" wrapText="1"/>
    </xf>
    <xf numFmtId="0" fontId="3" fillId="6" borderId="50" xfId="0" applyFont="1" applyFill="1" applyBorder="1" applyAlignment="1">
      <alignment horizontal="center" vertical="center" wrapText="1"/>
    </xf>
    <xf numFmtId="0" fontId="3" fillId="6" borderId="51" xfId="0" applyFont="1" applyFill="1" applyBorder="1" applyAlignment="1">
      <alignment horizontal="center" vertical="center" wrapText="1"/>
    </xf>
    <xf numFmtId="0" fontId="3" fillId="6" borderId="58" xfId="0" applyFont="1" applyFill="1" applyBorder="1" applyAlignment="1">
      <alignment horizontal="center" vertical="center" wrapText="1"/>
    </xf>
    <xf numFmtId="0" fontId="3" fillId="6" borderId="59" xfId="0" applyFont="1" applyFill="1" applyBorder="1" applyAlignment="1">
      <alignment horizontal="center" vertical="center" wrapText="1"/>
    </xf>
    <xf numFmtId="0" fontId="5" fillId="10" borderId="65" xfId="0" applyFont="1" applyFill="1" applyBorder="1" applyAlignment="1">
      <alignment horizontal="center" vertical="center" wrapText="1"/>
    </xf>
    <xf numFmtId="0" fontId="5" fillId="10" borderId="64" xfId="0" applyFont="1" applyFill="1" applyBorder="1" applyAlignment="1">
      <alignment horizontal="center" vertical="center" wrapText="1"/>
    </xf>
    <xf numFmtId="0" fontId="5" fillId="10" borderId="63" xfId="0" applyFont="1" applyFill="1" applyBorder="1" applyAlignment="1">
      <alignment horizontal="center" vertical="center" wrapText="1"/>
    </xf>
    <xf numFmtId="0" fontId="5" fillId="10" borderId="62" xfId="0" applyFont="1" applyFill="1" applyBorder="1" applyAlignment="1">
      <alignment horizontal="center" vertical="center" wrapText="1"/>
    </xf>
    <xf numFmtId="0" fontId="0" fillId="13" borderId="0" xfId="0" applyFill="1" applyBorder="1" applyAlignment="1">
      <alignment horizontal="center" vertical="center" wrapText="1"/>
    </xf>
    <xf numFmtId="0" fontId="5" fillId="10" borderId="50" xfId="0" applyFont="1" applyFill="1" applyBorder="1" applyAlignment="1">
      <alignment horizontal="center" vertical="center" wrapText="1"/>
    </xf>
    <xf numFmtId="0" fontId="5" fillId="10" borderId="51" xfId="0" applyFont="1" applyFill="1" applyBorder="1" applyAlignment="1">
      <alignment horizontal="center" vertical="center" wrapText="1"/>
    </xf>
  </cellXfs>
  <cellStyles count="2">
    <cellStyle name="Normal" xfId="0" builtinId="0"/>
    <cellStyle name="Pourcentage" xfId="1" builtinId="5"/>
  </cellStyles>
  <dxfs count="31">
    <dxf>
      <font>
        <color theme="0" tint="-4.9989318521683403E-2"/>
      </font>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ont>
        <color theme="0"/>
      </font>
    </dxf>
    <dxf>
      <font>
        <color theme="0" tint="-4.9989318521683403E-2"/>
      </font>
    </dxf>
  </dxfs>
  <tableStyles count="0" defaultTableStyle="TableStyleMedium9" defaultPivotStyle="PivotStyleLight16"/>
  <colors>
    <mruColors>
      <color rgb="FFFF0000"/>
      <color rgb="FFFFE89F"/>
      <color rgb="FFFFB3B3"/>
    </mru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6</xdr:col>
      <xdr:colOff>59054</xdr:colOff>
      <xdr:row>1</xdr:row>
      <xdr:rowOff>19051</xdr:rowOff>
    </xdr:from>
    <xdr:to>
      <xdr:col>6</xdr:col>
      <xdr:colOff>231774</xdr:colOff>
      <xdr:row>1</xdr:row>
      <xdr:rowOff>180976</xdr:rowOff>
    </xdr:to>
    <xdr:pic>
      <xdr:nvPicPr>
        <xdr:cNvPr id="3" name="Image 2" descr="PriceCrystal.png"/>
        <xdr:cNvPicPr>
          <a:picLocks noChangeAspect="1"/>
        </xdr:cNvPicPr>
      </xdr:nvPicPr>
      <xdr:blipFill>
        <a:blip xmlns:r="http://schemas.openxmlformats.org/officeDocument/2006/relationships" r:embed="rId1" cstate="print"/>
        <a:stretch>
          <a:fillRect/>
        </a:stretch>
      </xdr:blipFill>
      <xdr:spPr>
        <a:xfrm>
          <a:off x="2802254" y="219076"/>
          <a:ext cx="172720" cy="161925"/>
        </a:xfrm>
        <a:prstGeom prst="rect">
          <a:avLst/>
        </a:prstGeom>
      </xdr:spPr>
    </xdr:pic>
    <xdr:clientData/>
  </xdr:twoCellAnchor>
  <xdr:twoCellAnchor editAs="oneCell">
    <xdr:from>
      <xdr:col>8</xdr:col>
      <xdr:colOff>49530</xdr:colOff>
      <xdr:row>1</xdr:row>
      <xdr:rowOff>4763</xdr:rowOff>
    </xdr:from>
    <xdr:to>
      <xdr:col>8</xdr:col>
      <xdr:colOff>252730</xdr:colOff>
      <xdr:row>1</xdr:row>
      <xdr:rowOff>195263</xdr:rowOff>
    </xdr:to>
    <xdr:pic>
      <xdr:nvPicPr>
        <xdr:cNvPr id="4" name="Image 3" descr="PriceGem.png"/>
        <xdr:cNvPicPr>
          <a:picLocks noChangeAspect="1"/>
        </xdr:cNvPicPr>
      </xdr:nvPicPr>
      <xdr:blipFill>
        <a:blip xmlns:r="http://schemas.openxmlformats.org/officeDocument/2006/relationships" r:embed="rId2" cstate="print"/>
        <a:stretch>
          <a:fillRect/>
        </a:stretch>
      </xdr:blipFill>
      <xdr:spPr>
        <a:xfrm>
          <a:off x="3402330" y="204788"/>
          <a:ext cx="203200" cy="190500"/>
        </a:xfrm>
        <a:prstGeom prst="rect">
          <a:avLst/>
        </a:prstGeom>
      </xdr:spPr>
    </xdr:pic>
    <xdr:clientData/>
  </xdr:twoCellAnchor>
  <xdr:twoCellAnchor editAs="oneCell">
    <xdr:from>
      <xdr:col>2</xdr:col>
      <xdr:colOff>76200</xdr:colOff>
      <xdr:row>1</xdr:row>
      <xdr:rowOff>19051</xdr:rowOff>
    </xdr:from>
    <xdr:to>
      <xdr:col>2</xdr:col>
      <xdr:colOff>248920</xdr:colOff>
      <xdr:row>1</xdr:row>
      <xdr:rowOff>180976</xdr:rowOff>
    </xdr:to>
    <xdr:pic>
      <xdr:nvPicPr>
        <xdr:cNvPr id="5" name="Image 4" descr="PriceGold.png"/>
        <xdr:cNvPicPr>
          <a:picLocks noChangeAspect="1"/>
        </xdr:cNvPicPr>
      </xdr:nvPicPr>
      <xdr:blipFill>
        <a:blip xmlns:r="http://schemas.openxmlformats.org/officeDocument/2006/relationships" r:embed="rId3" cstate="print"/>
        <a:stretch>
          <a:fillRect/>
        </a:stretch>
      </xdr:blipFill>
      <xdr:spPr>
        <a:xfrm>
          <a:off x="1600200" y="219076"/>
          <a:ext cx="172720" cy="161925"/>
        </a:xfrm>
        <a:prstGeom prst="rect">
          <a:avLst/>
        </a:prstGeom>
      </xdr:spPr>
    </xdr:pic>
    <xdr:clientData/>
  </xdr:twoCellAnchor>
  <xdr:twoCellAnchor editAs="oneCell">
    <xdr:from>
      <xdr:col>5</xdr:col>
      <xdr:colOff>42227</xdr:colOff>
      <xdr:row>1</xdr:row>
      <xdr:rowOff>1787</xdr:rowOff>
    </xdr:from>
    <xdr:to>
      <xdr:col>5</xdr:col>
      <xdr:colOff>251777</xdr:colOff>
      <xdr:row>1</xdr:row>
      <xdr:rowOff>198240</xdr:rowOff>
    </xdr:to>
    <xdr:pic>
      <xdr:nvPicPr>
        <xdr:cNvPr id="6" name="Image 5" descr="PriceMercury.png"/>
        <xdr:cNvPicPr>
          <a:picLocks noChangeAspect="1"/>
        </xdr:cNvPicPr>
      </xdr:nvPicPr>
      <xdr:blipFill>
        <a:blip xmlns:r="http://schemas.openxmlformats.org/officeDocument/2006/relationships" r:embed="rId4" cstate="print"/>
        <a:stretch>
          <a:fillRect/>
        </a:stretch>
      </xdr:blipFill>
      <xdr:spPr>
        <a:xfrm>
          <a:off x="2480627" y="201812"/>
          <a:ext cx="209550" cy="196453"/>
        </a:xfrm>
        <a:prstGeom prst="rect">
          <a:avLst/>
        </a:prstGeom>
      </xdr:spPr>
    </xdr:pic>
    <xdr:clientData/>
  </xdr:twoCellAnchor>
  <xdr:twoCellAnchor editAs="oneCell">
    <xdr:from>
      <xdr:col>4</xdr:col>
      <xdr:colOff>63499</xdr:colOff>
      <xdr:row>1</xdr:row>
      <xdr:rowOff>19646</xdr:rowOff>
    </xdr:from>
    <xdr:to>
      <xdr:col>4</xdr:col>
      <xdr:colOff>234950</xdr:colOff>
      <xdr:row>1</xdr:row>
      <xdr:rowOff>180381</xdr:rowOff>
    </xdr:to>
    <xdr:pic>
      <xdr:nvPicPr>
        <xdr:cNvPr id="7" name="Image 6" descr="PriceOre.png"/>
        <xdr:cNvPicPr>
          <a:picLocks noChangeAspect="1"/>
        </xdr:cNvPicPr>
      </xdr:nvPicPr>
      <xdr:blipFill>
        <a:blip xmlns:r="http://schemas.openxmlformats.org/officeDocument/2006/relationships" r:embed="rId5" cstate="print"/>
        <a:stretch>
          <a:fillRect/>
        </a:stretch>
      </xdr:blipFill>
      <xdr:spPr>
        <a:xfrm>
          <a:off x="2197099" y="219671"/>
          <a:ext cx="171451" cy="160735"/>
        </a:xfrm>
        <a:prstGeom prst="rect">
          <a:avLst/>
        </a:prstGeom>
      </xdr:spPr>
    </xdr:pic>
    <xdr:clientData/>
  </xdr:twoCellAnchor>
  <xdr:twoCellAnchor editAs="oneCell">
    <xdr:from>
      <xdr:col>7</xdr:col>
      <xdr:colOff>39051</xdr:colOff>
      <xdr:row>1</xdr:row>
      <xdr:rowOff>4763</xdr:rowOff>
    </xdr:from>
    <xdr:to>
      <xdr:col>7</xdr:col>
      <xdr:colOff>242251</xdr:colOff>
      <xdr:row>1</xdr:row>
      <xdr:rowOff>195263</xdr:rowOff>
    </xdr:to>
    <xdr:pic>
      <xdr:nvPicPr>
        <xdr:cNvPr id="8" name="Image 7" descr="PriceSulfur.png"/>
        <xdr:cNvPicPr>
          <a:picLocks noChangeAspect="1"/>
        </xdr:cNvPicPr>
      </xdr:nvPicPr>
      <xdr:blipFill>
        <a:blip xmlns:r="http://schemas.openxmlformats.org/officeDocument/2006/relationships" r:embed="rId6" cstate="print"/>
        <a:stretch>
          <a:fillRect/>
        </a:stretch>
      </xdr:blipFill>
      <xdr:spPr>
        <a:xfrm>
          <a:off x="3087051" y="204788"/>
          <a:ext cx="203200" cy="190500"/>
        </a:xfrm>
        <a:prstGeom prst="rect">
          <a:avLst/>
        </a:prstGeom>
      </xdr:spPr>
    </xdr:pic>
    <xdr:clientData/>
  </xdr:twoCellAnchor>
  <xdr:twoCellAnchor editAs="oneCell">
    <xdr:from>
      <xdr:col>3</xdr:col>
      <xdr:colOff>56197</xdr:colOff>
      <xdr:row>1</xdr:row>
      <xdr:rowOff>6252</xdr:rowOff>
    </xdr:from>
    <xdr:to>
      <xdr:col>3</xdr:col>
      <xdr:colOff>256222</xdr:colOff>
      <xdr:row>1</xdr:row>
      <xdr:rowOff>193775</xdr:rowOff>
    </xdr:to>
    <xdr:pic>
      <xdr:nvPicPr>
        <xdr:cNvPr id="9" name="Image 8" descr="PriceWood.png"/>
        <xdr:cNvPicPr>
          <a:picLocks noChangeAspect="1"/>
        </xdr:cNvPicPr>
      </xdr:nvPicPr>
      <xdr:blipFill>
        <a:blip xmlns:r="http://schemas.openxmlformats.org/officeDocument/2006/relationships" r:embed="rId7" cstate="print"/>
        <a:stretch>
          <a:fillRect/>
        </a:stretch>
      </xdr:blipFill>
      <xdr:spPr>
        <a:xfrm>
          <a:off x="1884997" y="206277"/>
          <a:ext cx="200025" cy="187523"/>
        </a:xfrm>
        <a:prstGeom prst="rect">
          <a:avLst/>
        </a:prstGeom>
      </xdr:spPr>
    </xdr:pic>
    <xdr:clientData/>
  </xdr:twoCellAnchor>
  <xdr:twoCellAnchor editAs="oneCell">
    <xdr:from>
      <xdr:col>19</xdr:col>
      <xdr:colOff>173354</xdr:colOff>
      <xdr:row>1</xdr:row>
      <xdr:rowOff>19051</xdr:rowOff>
    </xdr:from>
    <xdr:to>
      <xdr:col>19</xdr:col>
      <xdr:colOff>346074</xdr:colOff>
      <xdr:row>1</xdr:row>
      <xdr:rowOff>180976</xdr:rowOff>
    </xdr:to>
    <xdr:pic>
      <xdr:nvPicPr>
        <xdr:cNvPr id="17" name="Image 16" descr="PriceCrystal.png"/>
        <xdr:cNvPicPr>
          <a:picLocks noChangeAspect="1"/>
        </xdr:cNvPicPr>
      </xdr:nvPicPr>
      <xdr:blipFill>
        <a:blip xmlns:r="http://schemas.openxmlformats.org/officeDocument/2006/relationships" r:embed="rId1" cstate="print"/>
        <a:stretch>
          <a:fillRect/>
        </a:stretch>
      </xdr:blipFill>
      <xdr:spPr>
        <a:xfrm>
          <a:off x="10155554" y="219076"/>
          <a:ext cx="172720" cy="161925"/>
        </a:xfrm>
        <a:prstGeom prst="rect">
          <a:avLst/>
        </a:prstGeom>
      </xdr:spPr>
    </xdr:pic>
    <xdr:clientData/>
  </xdr:twoCellAnchor>
  <xdr:twoCellAnchor editAs="oneCell">
    <xdr:from>
      <xdr:col>21</xdr:col>
      <xdr:colOff>163830</xdr:colOff>
      <xdr:row>1</xdr:row>
      <xdr:rowOff>23813</xdr:rowOff>
    </xdr:from>
    <xdr:to>
      <xdr:col>21</xdr:col>
      <xdr:colOff>367030</xdr:colOff>
      <xdr:row>1</xdr:row>
      <xdr:rowOff>214313</xdr:rowOff>
    </xdr:to>
    <xdr:pic>
      <xdr:nvPicPr>
        <xdr:cNvPr id="18" name="Image 17" descr="PriceGem.png"/>
        <xdr:cNvPicPr>
          <a:picLocks noChangeAspect="1"/>
        </xdr:cNvPicPr>
      </xdr:nvPicPr>
      <xdr:blipFill>
        <a:blip xmlns:r="http://schemas.openxmlformats.org/officeDocument/2006/relationships" r:embed="rId2" cstate="print"/>
        <a:stretch>
          <a:fillRect/>
        </a:stretch>
      </xdr:blipFill>
      <xdr:spPr>
        <a:xfrm>
          <a:off x="11174730" y="223838"/>
          <a:ext cx="203200" cy="190500"/>
        </a:xfrm>
        <a:prstGeom prst="rect">
          <a:avLst/>
        </a:prstGeom>
      </xdr:spPr>
    </xdr:pic>
    <xdr:clientData/>
  </xdr:twoCellAnchor>
  <xdr:twoCellAnchor editAs="oneCell">
    <xdr:from>
      <xdr:col>15</xdr:col>
      <xdr:colOff>247650</xdr:colOff>
      <xdr:row>1</xdr:row>
      <xdr:rowOff>38101</xdr:rowOff>
    </xdr:from>
    <xdr:to>
      <xdr:col>15</xdr:col>
      <xdr:colOff>420370</xdr:colOff>
      <xdr:row>1</xdr:row>
      <xdr:rowOff>200026</xdr:rowOff>
    </xdr:to>
    <xdr:pic>
      <xdr:nvPicPr>
        <xdr:cNvPr id="19" name="Image 18" descr="PriceGold.png"/>
        <xdr:cNvPicPr>
          <a:picLocks noChangeAspect="1"/>
        </xdr:cNvPicPr>
      </xdr:nvPicPr>
      <xdr:blipFill>
        <a:blip xmlns:r="http://schemas.openxmlformats.org/officeDocument/2006/relationships" r:embed="rId3" cstate="print"/>
        <a:stretch>
          <a:fillRect/>
        </a:stretch>
      </xdr:blipFill>
      <xdr:spPr>
        <a:xfrm>
          <a:off x="8048625" y="238126"/>
          <a:ext cx="172720" cy="161925"/>
        </a:xfrm>
        <a:prstGeom prst="rect">
          <a:avLst/>
        </a:prstGeom>
      </xdr:spPr>
    </xdr:pic>
    <xdr:clientData/>
  </xdr:twoCellAnchor>
  <xdr:twoCellAnchor editAs="oneCell">
    <xdr:from>
      <xdr:col>18</xdr:col>
      <xdr:colOff>175577</xdr:colOff>
      <xdr:row>1</xdr:row>
      <xdr:rowOff>1787</xdr:rowOff>
    </xdr:from>
    <xdr:to>
      <xdr:col>18</xdr:col>
      <xdr:colOff>385127</xdr:colOff>
      <xdr:row>1</xdr:row>
      <xdr:rowOff>198240</xdr:rowOff>
    </xdr:to>
    <xdr:pic>
      <xdr:nvPicPr>
        <xdr:cNvPr id="20" name="Image 19" descr="PriceMercury.png"/>
        <xdr:cNvPicPr>
          <a:picLocks noChangeAspect="1"/>
        </xdr:cNvPicPr>
      </xdr:nvPicPr>
      <xdr:blipFill>
        <a:blip xmlns:r="http://schemas.openxmlformats.org/officeDocument/2006/relationships" r:embed="rId4" cstate="print"/>
        <a:stretch>
          <a:fillRect/>
        </a:stretch>
      </xdr:blipFill>
      <xdr:spPr>
        <a:xfrm>
          <a:off x="9643427" y="201812"/>
          <a:ext cx="209550" cy="196453"/>
        </a:xfrm>
        <a:prstGeom prst="rect">
          <a:avLst/>
        </a:prstGeom>
      </xdr:spPr>
    </xdr:pic>
    <xdr:clientData/>
  </xdr:twoCellAnchor>
  <xdr:twoCellAnchor editAs="oneCell">
    <xdr:from>
      <xdr:col>17</xdr:col>
      <xdr:colOff>168274</xdr:colOff>
      <xdr:row>1</xdr:row>
      <xdr:rowOff>19646</xdr:rowOff>
    </xdr:from>
    <xdr:to>
      <xdr:col>17</xdr:col>
      <xdr:colOff>339725</xdr:colOff>
      <xdr:row>1</xdr:row>
      <xdr:rowOff>180381</xdr:rowOff>
    </xdr:to>
    <xdr:pic>
      <xdr:nvPicPr>
        <xdr:cNvPr id="21" name="Image 20" descr="PriceOre.png"/>
        <xdr:cNvPicPr>
          <a:picLocks noChangeAspect="1"/>
        </xdr:cNvPicPr>
      </xdr:nvPicPr>
      <xdr:blipFill>
        <a:blip xmlns:r="http://schemas.openxmlformats.org/officeDocument/2006/relationships" r:embed="rId5" cstate="print"/>
        <a:stretch>
          <a:fillRect/>
        </a:stretch>
      </xdr:blipFill>
      <xdr:spPr>
        <a:xfrm>
          <a:off x="9121774" y="219671"/>
          <a:ext cx="171451" cy="160735"/>
        </a:xfrm>
        <a:prstGeom prst="rect">
          <a:avLst/>
        </a:prstGeom>
      </xdr:spPr>
    </xdr:pic>
    <xdr:clientData/>
  </xdr:twoCellAnchor>
  <xdr:twoCellAnchor editAs="oneCell">
    <xdr:from>
      <xdr:col>20</xdr:col>
      <xdr:colOff>162876</xdr:colOff>
      <xdr:row>1</xdr:row>
      <xdr:rowOff>4763</xdr:rowOff>
    </xdr:from>
    <xdr:to>
      <xdr:col>20</xdr:col>
      <xdr:colOff>366076</xdr:colOff>
      <xdr:row>1</xdr:row>
      <xdr:rowOff>195263</xdr:rowOff>
    </xdr:to>
    <xdr:pic>
      <xdr:nvPicPr>
        <xdr:cNvPr id="22" name="Image 21" descr="PriceSulfur.png"/>
        <xdr:cNvPicPr>
          <a:picLocks noChangeAspect="1"/>
        </xdr:cNvPicPr>
      </xdr:nvPicPr>
      <xdr:blipFill>
        <a:blip xmlns:r="http://schemas.openxmlformats.org/officeDocument/2006/relationships" r:embed="rId6" cstate="print"/>
        <a:stretch>
          <a:fillRect/>
        </a:stretch>
      </xdr:blipFill>
      <xdr:spPr>
        <a:xfrm>
          <a:off x="10659426" y="204788"/>
          <a:ext cx="203200" cy="190500"/>
        </a:xfrm>
        <a:prstGeom prst="rect">
          <a:avLst/>
        </a:prstGeom>
      </xdr:spPr>
    </xdr:pic>
    <xdr:clientData/>
  </xdr:twoCellAnchor>
  <xdr:twoCellAnchor editAs="oneCell">
    <xdr:from>
      <xdr:col>16</xdr:col>
      <xdr:colOff>151447</xdr:colOff>
      <xdr:row>1</xdr:row>
      <xdr:rowOff>6252</xdr:rowOff>
    </xdr:from>
    <xdr:to>
      <xdr:col>16</xdr:col>
      <xdr:colOff>351472</xdr:colOff>
      <xdr:row>1</xdr:row>
      <xdr:rowOff>193775</xdr:rowOff>
    </xdr:to>
    <xdr:pic>
      <xdr:nvPicPr>
        <xdr:cNvPr id="23" name="Image 22" descr="PriceWood.png"/>
        <xdr:cNvPicPr>
          <a:picLocks noChangeAspect="1"/>
        </xdr:cNvPicPr>
      </xdr:nvPicPr>
      <xdr:blipFill>
        <a:blip xmlns:r="http://schemas.openxmlformats.org/officeDocument/2006/relationships" r:embed="rId7" cstate="print"/>
        <a:stretch>
          <a:fillRect/>
        </a:stretch>
      </xdr:blipFill>
      <xdr:spPr>
        <a:xfrm>
          <a:off x="8590597" y="206277"/>
          <a:ext cx="200025" cy="187523"/>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Feuil1"/>
  <dimension ref="A1:AM312"/>
  <sheetViews>
    <sheetView tabSelected="1" workbookViewId="0">
      <pane xSplit="4" ySplit="3" topLeftCell="E43" activePane="bottomRight" state="frozen"/>
      <selection pane="topRight" activeCell="C1" sqref="C1"/>
      <selection pane="bottomLeft" activeCell="A4" sqref="A4"/>
      <selection pane="bottomRight" activeCell="AI2" sqref="C2:AM61"/>
    </sheetView>
  </sheetViews>
  <sheetFormatPr baseColWidth="10" defaultRowHeight="15"/>
  <cols>
    <col min="2" max="2" width="12.140625" bestFit="1" customWidth="1"/>
    <col min="3" max="3" width="11.42578125" style="7" bestFit="1" customWidth="1"/>
    <col min="4" max="4" width="13.140625" style="7" customWidth="1"/>
    <col min="5" max="5" width="9.140625" style="7" bestFit="1" customWidth="1"/>
    <col min="6" max="6" width="6" bestFit="1" customWidth="1"/>
    <col min="7" max="8" width="3" bestFit="1" customWidth="1"/>
    <col min="9" max="9" width="6" bestFit="1" customWidth="1"/>
    <col min="10" max="10" width="3" bestFit="1" customWidth="1"/>
    <col min="11" max="11" width="2" bestFit="1" customWidth="1"/>
    <col min="12" max="13" width="2" customWidth="1"/>
    <col min="14" max="14" width="5" bestFit="1" customWidth="1"/>
    <col min="15" max="15" width="3" bestFit="1" customWidth="1"/>
    <col min="16" max="16" width="2" bestFit="1" customWidth="1"/>
    <col min="17" max="18" width="2" customWidth="1"/>
    <col min="19" max="19" width="5" bestFit="1" customWidth="1"/>
    <col min="20" max="20" width="3" bestFit="1" customWidth="1"/>
    <col min="21" max="21" width="2" bestFit="1" customWidth="1"/>
    <col min="22" max="23" width="2" customWidth="1"/>
    <col min="24" max="24" width="4" bestFit="1" customWidth="1"/>
    <col min="25" max="25" width="3" bestFit="1" customWidth="1"/>
    <col min="26" max="26" width="2" bestFit="1" customWidth="1"/>
    <col min="27" max="28" width="2" customWidth="1"/>
    <col min="29" max="29" width="4" bestFit="1" customWidth="1"/>
    <col min="30" max="30" width="3" bestFit="1" customWidth="1"/>
    <col min="31" max="31" width="2" bestFit="1" customWidth="1"/>
    <col min="32" max="33" width="2" customWidth="1"/>
    <col min="34" max="34" width="4" bestFit="1" customWidth="1"/>
    <col min="35" max="36" width="2" bestFit="1" customWidth="1"/>
    <col min="37" max="38" width="2" customWidth="1"/>
    <col min="39" max="39" width="4" bestFit="1" customWidth="1"/>
    <col min="44" max="45" width="4" bestFit="1" customWidth="1"/>
    <col min="46" max="47" width="3" bestFit="1" customWidth="1"/>
    <col min="48" max="48" width="5" bestFit="1" customWidth="1"/>
    <col min="49" max="49" width="3" bestFit="1" customWidth="1"/>
  </cols>
  <sheetData>
    <row r="1" spans="1:39">
      <c r="C1" s="31"/>
      <c r="D1" s="31"/>
      <c r="E1" s="31"/>
    </row>
    <row r="2" spans="1:39">
      <c r="A2" t="s">
        <v>84</v>
      </c>
      <c r="B2">
        <v>2</v>
      </c>
      <c r="C2" s="350" t="s">
        <v>145</v>
      </c>
      <c r="D2" s="350"/>
      <c r="E2" s="302"/>
      <c r="F2" s="315" t="str">
        <f>CONCATENATE("Or ( ",B2," trésoreries)")</f>
        <v>Or ( 2 trésoreries)</v>
      </c>
      <c r="G2" s="316"/>
      <c r="H2" s="316"/>
      <c r="I2" s="317"/>
      <c r="J2" s="336" t="s">
        <v>5</v>
      </c>
      <c r="K2" s="337"/>
      <c r="L2" s="337"/>
      <c r="M2" s="337"/>
      <c r="N2" s="338"/>
      <c r="O2" s="333" t="s">
        <v>6</v>
      </c>
      <c r="P2" s="334"/>
      <c r="Q2" s="334"/>
      <c r="R2" s="334"/>
      <c r="S2" s="335"/>
      <c r="T2" s="330" t="s">
        <v>7</v>
      </c>
      <c r="U2" s="331"/>
      <c r="V2" s="331"/>
      <c r="W2" s="331"/>
      <c r="X2" s="332"/>
      <c r="Y2" s="327" t="s">
        <v>8</v>
      </c>
      <c r="Z2" s="328"/>
      <c r="AA2" s="328"/>
      <c r="AB2" s="328"/>
      <c r="AC2" s="329"/>
      <c r="AD2" s="324" t="s">
        <v>9</v>
      </c>
      <c r="AE2" s="325"/>
      <c r="AF2" s="325"/>
      <c r="AG2" s="325"/>
      <c r="AH2" s="326"/>
      <c r="AI2" s="321" t="s">
        <v>10</v>
      </c>
      <c r="AJ2" s="322"/>
      <c r="AK2" s="322"/>
      <c r="AL2" s="322"/>
      <c r="AM2" s="323"/>
    </row>
    <row r="3" spans="1:39" ht="15.75" thickBot="1">
      <c r="A3" s="2" t="s">
        <v>13</v>
      </c>
      <c r="B3" s="1" t="s">
        <v>14</v>
      </c>
      <c r="C3" s="2" t="s">
        <v>13</v>
      </c>
      <c r="D3" s="23" t="s">
        <v>14</v>
      </c>
      <c r="E3" s="98" t="s">
        <v>70</v>
      </c>
      <c r="F3" s="318" t="str">
        <f>CONCATENATE(TRUNC(SUM(I4:I61)/1000000,3)," Mpo")</f>
        <v>1,215 Mpo</v>
      </c>
      <c r="G3" s="319"/>
      <c r="H3" s="319"/>
      <c r="I3" s="320"/>
      <c r="J3" s="342">
        <f>TRUNC(SUM(N4:N61))</f>
        <v>469</v>
      </c>
      <c r="K3" s="343"/>
      <c r="L3" s="343"/>
      <c r="M3" s="343"/>
      <c r="N3" s="344"/>
      <c r="O3" s="345">
        <f>TRUNC(SUM(S4:S61))</f>
        <v>469</v>
      </c>
      <c r="P3" s="346"/>
      <c r="Q3" s="346"/>
      <c r="R3" s="346"/>
      <c r="S3" s="347"/>
      <c r="T3" s="339">
        <f>TRUNC(SUM(X4:X61))</f>
        <v>110</v>
      </c>
      <c r="U3" s="340"/>
      <c r="V3" s="340"/>
      <c r="W3" s="340"/>
      <c r="X3" s="341"/>
      <c r="Y3" s="303">
        <f>TRUNC(SUM(AC5:AC61))</f>
        <v>109</v>
      </c>
      <c r="Z3" s="304"/>
      <c r="AA3" s="304"/>
      <c r="AB3" s="304"/>
      <c r="AC3" s="305"/>
      <c r="AD3" s="307">
        <f>TRUNC(SUM(AH4:AH61))</f>
        <v>82</v>
      </c>
      <c r="AE3" s="308"/>
      <c r="AF3" s="308"/>
      <c r="AG3" s="308"/>
      <c r="AH3" s="309"/>
      <c r="AI3" s="312">
        <f>TRUNC(SUM(AM4:AM61))</f>
        <v>101</v>
      </c>
      <c r="AJ3" s="313"/>
      <c r="AK3" s="313"/>
      <c r="AL3" s="313"/>
      <c r="AM3" s="314"/>
    </row>
    <row r="4" spans="1:39">
      <c r="A4" s="12" t="s">
        <v>26</v>
      </c>
      <c r="B4" s="13" t="s">
        <v>27</v>
      </c>
      <c r="C4" s="298" t="s">
        <v>26</v>
      </c>
      <c r="D4" s="34" t="s">
        <v>27</v>
      </c>
      <c r="E4" s="34" t="s">
        <v>124</v>
      </c>
      <c r="F4" s="35">
        <v>13000</v>
      </c>
      <c r="G4" s="35">
        <v>10</v>
      </c>
      <c r="H4" s="36">
        <v>3</v>
      </c>
      <c r="I4" s="37">
        <f>((2000*G4)*(1+0.05*(H4-1))+F4)*(1+0.05*$B$2)</f>
        <v>38500</v>
      </c>
      <c r="J4" s="35">
        <v>9</v>
      </c>
      <c r="K4" s="36">
        <v>3</v>
      </c>
      <c r="L4" s="154">
        <v>1</v>
      </c>
      <c r="M4" s="155">
        <v>1</v>
      </c>
      <c r="N4" s="37">
        <f>(2*J4)*(1+0.05*(K4-1))*(1+0.04*L4*(1+0.2*M4))</f>
        <v>20.750400000000003</v>
      </c>
      <c r="O4" s="237">
        <v>7</v>
      </c>
      <c r="P4" s="238">
        <v>3</v>
      </c>
      <c r="Q4" s="239">
        <v>1</v>
      </c>
      <c r="R4" s="240">
        <v>1</v>
      </c>
      <c r="S4" s="241">
        <f>(2*O4)*(1+0.05*(P4-1))*(1+0.04*Q4*(1+0.2*R4))</f>
        <v>16.139200000000002</v>
      </c>
      <c r="T4" s="237"/>
      <c r="U4" s="238"/>
      <c r="V4" s="239"/>
      <c r="W4" s="240"/>
      <c r="X4" s="241">
        <f>(1*T4)*(1+0.05*(U4-1))*(1+0.04*V4*(1+0.2*W4))</f>
        <v>0</v>
      </c>
      <c r="Y4" s="35"/>
      <c r="Z4" s="36"/>
      <c r="AA4" s="154"/>
      <c r="AB4" s="155"/>
      <c r="AC4" s="37">
        <f>(1*Y4)*(1+0.05*(Z4-1))*(1+0.04*AA4*(1+0.2*AB4))</f>
        <v>0</v>
      </c>
      <c r="AD4" s="35">
        <v>8</v>
      </c>
      <c r="AE4" s="38">
        <v>3</v>
      </c>
      <c r="AF4" s="180">
        <v>0</v>
      </c>
      <c r="AG4" s="181">
        <v>0</v>
      </c>
      <c r="AH4" s="37">
        <f>(1*AD4)*(1+0.05*(AE4-1))*(1+0.04*AF4*(1+0.2*AG4))</f>
        <v>8.8000000000000007</v>
      </c>
      <c r="AI4" s="35"/>
      <c r="AJ4" s="36"/>
      <c r="AK4" s="154"/>
      <c r="AL4" s="155"/>
      <c r="AM4" s="223">
        <f>(1*AI4)*(1+0.05*(AJ4-1))*(1+0.04*AK4*(1+0.2*AL4))</f>
        <v>0</v>
      </c>
    </row>
    <row r="5" spans="1:39">
      <c r="A5" s="14" t="s">
        <v>26</v>
      </c>
      <c r="B5" s="15" t="s">
        <v>112</v>
      </c>
      <c r="C5" s="306"/>
      <c r="D5" s="55" t="s">
        <v>112</v>
      </c>
      <c r="E5" s="55" t="s">
        <v>68</v>
      </c>
      <c r="F5" s="95">
        <v>4000</v>
      </c>
      <c r="G5" s="95">
        <v>9</v>
      </c>
      <c r="H5" s="94">
        <v>8</v>
      </c>
      <c r="I5" s="41">
        <f t="shared" ref="I5:I61" si="0">((2000*G5)*(1+0.05*(H5-1))+F5)*(1+0.05*$B$2)</f>
        <v>31130.000000000004</v>
      </c>
      <c r="J5" s="95">
        <v>8</v>
      </c>
      <c r="K5" s="94">
        <v>4</v>
      </c>
      <c r="L5" s="156"/>
      <c r="M5" s="157"/>
      <c r="N5" s="41">
        <f t="shared" ref="N5:N61" si="1">(2*J5)*(1+0.05*(K5-1))*(1+0.04*L5*(1+0.2*M5))</f>
        <v>18.399999999999999</v>
      </c>
      <c r="O5" s="242">
        <v>8</v>
      </c>
      <c r="P5" s="243">
        <v>4</v>
      </c>
      <c r="Q5" s="244"/>
      <c r="R5" s="245"/>
      <c r="S5" s="246">
        <f t="shared" ref="S5:S61" si="2">(2*O5)*(1+0.05*(P5-1))*(1+0.04*Q5*(1+0.2*R5))</f>
        <v>18.399999999999999</v>
      </c>
      <c r="T5" s="242">
        <v>5</v>
      </c>
      <c r="U5" s="243">
        <v>2</v>
      </c>
      <c r="V5" s="244"/>
      <c r="W5" s="245"/>
      <c r="X5" s="246">
        <f t="shared" ref="X5:X61" si="3">(1*T5)*(1+0.05*(U5-1))*(1+0.04*V5*(1+0.2*W5))</f>
        <v>5.25</v>
      </c>
      <c r="Y5" s="95"/>
      <c r="Z5" s="94"/>
      <c r="AA5" s="156"/>
      <c r="AB5" s="157"/>
      <c r="AC5" s="41">
        <f t="shared" ref="AC5:AC61" si="4">(1*Y5)*(1+0.05*(Z5-1))*(1+0.04*AA5*(1+0.2*AB5))</f>
        <v>0</v>
      </c>
      <c r="AD5" s="74"/>
      <c r="AE5" s="78"/>
      <c r="AF5" s="178"/>
      <c r="AG5" s="179"/>
      <c r="AH5" s="41">
        <f t="shared" ref="AH5:AH61" si="5">(1*AD5)*(1+0.05*(AE5-1))*(1+0.04*AF5*(1+0.2*AG5))</f>
        <v>0</v>
      </c>
      <c r="AI5" s="95"/>
      <c r="AJ5" s="94"/>
      <c r="AK5" s="156"/>
      <c r="AL5" s="157"/>
      <c r="AM5" s="224">
        <f t="shared" ref="AM5:AM61" si="6">(1*AI5)*(1+0.05*(AJ5-1))*(1+0.04*AK5*(1+0.2*AL5))</f>
        <v>0</v>
      </c>
    </row>
    <row r="6" spans="1:39">
      <c r="A6" s="14" t="s">
        <v>26</v>
      </c>
      <c r="B6" s="15" t="s">
        <v>44</v>
      </c>
      <c r="C6" s="306"/>
      <c r="D6" s="293" t="s">
        <v>83</v>
      </c>
      <c r="E6" s="293" t="s">
        <v>124</v>
      </c>
      <c r="F6" s="39">
        <v>13000</v>
      </c>
      <c r="G6" s="39">
        <v>9</v>
      </c>
      <c r="H6" s="40">
        <v>3</v>
      </c>
      <c r="I6" s="41">
        <f t="shared" si="0"/>
        <v>36080</v>
      </c>
      <c r="J6" s="39"/>
      <c r="K6" s="40"/>
      <c r="L6" s="158"/>
      <c r="M6" s="159"/>
      <c r="N6" s="41">
        <f t="shared" si="1"/>
        <v>0</v>
      </c>
      <c r="O6" s="247">
        <v>5</v>
      </c>
      <c r="P6" s="248">
        <v>3</v>
      </c>
      <c r="Q6" s="249"/>
      <c r="R6" s="250"/>
      <c r="S6" s="246">
        <f t="shared" si="2"/>
        <v>11</v>
      </c>
      <c r="T6" s="247">
        <v>5</v>
      </c>
      <c r="U6" s="248">
        <v>3</v>
      </c>
      <c r="V6" s="249"/>
      <c r="W6" s="250"/>
      <c r="X6" s="246">
        <f t="shared" si="3"/>
        <v>5.5</v>
      </c>
      <c r="Y6" s="39"/>
      <c r="Z6" s="40"/>
      <c r="AA6" s="158"/>
      <c r="AB6" s="159"/>
      <c r="AC6" s="41">
        <f t="shared" si="4"/>
        <v>0</v>
      </c>
      <c r="AD6" s="39"/>
      <c r="AE6" s="42"/>
      <c r="AF6" s="182"/>
      <c r="AG6" s="183"/>
      <c r="AH6" s="41">
        <f t="shared" si="5"/>
        <v>0</v>
      </c>
      <c r="AI6" s="39"/>
      <c r="AJ6" s="40"/>
      <c r="AK6" s="158"/>
      <c r="AL6" s="159"/>
      <c r="AM6" s="224">
        <f t="shared" si="6"/>
        <v>0</v>
      </c>
    </row>
    <row r="7" spans="1:39">
      <c r="A7" s="14" t="s">
        <v>26</v>
      </c>
      <c r="B7" s="15" t="s">
        <v>44</v>
      </c>
      <c r="C7" s="306"/>
      <c r="D7" s="294"/>
      <c r="E7" s="294"/>
      <c r="F7" s="44"/>
      <c r="G7" s="44"/>
      <c r="H7" s="45"/>
      <c r="I7" s="46">
        <f t="shared" si="0"/>
        <v>0</v>
      </c>
      <c r="J7" s="44"/>
      <c r="K7" s="45"/>
      <c r="L7" s="160"/>
      <c r="M7" s="161"/>
      <c r="N7" s="46">
        <f t="shared" si="1"/>
        <v>0</v>
      </c>
      <c r="O7" s="251">
        <v>5</v>
      </c>
      <c r="P7" s="252">
        <v>3</v>
      </c>
      <c r="Q7" s="253"/>
      <c r="R7" s="254"/>
      <c r="S7" s="255">
        <f t="shared" si="2"/>
        <v>11</v>
      </c>
      <c r="T7" s="251"/>
      <c r="U7" s="252"/>
      <c r="V7" s="253"/>
      <c r="W7" s="254"/>
      <c r="X7" s="255">
        <f t="shared" si="3"/>
        <v>0</v>
      </c>
      <c r="Y7" s="44"/>
      <c r="Z7" s="45"/>
      <c r="AA7" s="160"/>
      <c r="AB7" s="161"/>
      <c r="AC7" s="46">
        <f t="shared" si="4"/>
        <v>0</v>
      </c>
      <c r="AD7" s="44"/>
      <c r="AE7" s="47"/>
      <c r="AF7" s="164"/>
      <c r="AG7" s="165"/>
      <c r="AH7" s="46">
        <f t="shared" si="5"/>
        <v>0</v>
      </c>
      <c r="AI7" s="44"/>
      <c r="AJ7" s="45"/>
      <c r="AK7" s="160"/>
      <c r="AL7" s="161"/>
      <c r="AM7" s="225">
        <f t="shared" si="6"/>
        <v>0</v>
      </c>
    </row>
    <row r="8" spans="1:39" ht="15.75" thickBot="1">
      <c r="A8" s="16" t="s">
        <v>26</v>
      </c>
      <c r="B8" s="17" t="s">
        <v>28</v>
      </c>
      <c r="C8" s="299"/>
      <c r="D8" s="48" t="s">
        <v>28</v>
      </c>
      <c r="E8" s="48" t="s">
        <v>67</v>
      </c>
      <c r="F8" s="49">
        <v>7000</v>
      </c>
      <c r="G8" s="49">
        <v>9</v>
      </c>
      <c r="H8" s="50">
        <v>5</v>
      </c>
      <c r="I8" s="54">
        <f t="shared" si="0"/>
        <v>31460.000000000004</v>
      </c>
      <c r="J8" s="52">
        <v>9</v>
      </c>
      <c r="K8" s="53">
        <v>3</v>
      </c>
      <c r="L8" s="162"/>
      <c r="M8" s="163"/>
      <c r="N8" s="54">
        <f t="shared" si="1"/>
        <v>19.8</v>
      </c>
      <c r="O8" s="256">
        <v>7</v>
      </c>
      <c r="P8" s="257">
        <v>3</v>
      </c>
      <c r="Q8" s="258"/>
      <c r="R8" s="259"/>
      <c r="S8" s="260">
        <f t="shared" si="2"/>
        <v>15.400000000000002</v>
      </c>
      <c r="T8" s="256"/>
      <c r="U8" s="268"/>
      <c r="V8" s="269"/>
      <c r="W8" s="270"/>
      <c r="X8" s="260">
        <f t="shared" si="3"/>
        <v>0</v>
      </c>
      <c r="Y8" s="49">
        <v>5</v>
      </c>
      <c r="Z8" s="50">
        <v>3</v>
      </c>
      <c r="AA8" s="170"/>
      <c r="AB8" s="171"/>
      <c r="AC8" s="54">
        <f t="shared" si="4"/>
        <v>5.5</v>
      </c>
      <c r="AD8" s="49"/>
      <c r="AE8" s="50"/>
      <c r="AF8" s="170"/>
      <c r="AG8" s="171"/>
      <c r="AH8" s="54">
        <f t="shared" si="5"/>
        <v>0</v>
      </c>
      <c r="AI8" s="49"/>
      <c r="AJ8" s="50"/>
      <c r="AK8" s="170"/>
      <c r="AL8" s="171"/>
      <c r="AM8" s="226">
        <f t="shared" si="6"/>
        <v>0</v>
      </c>
    </row>
    <row r="9" spans="1:39">
      <c r="A9" s="14" t="s">
        <v>18</v>
      </c>
      <c r="B9" s="15" t="s">
        <v>48</v>
      </c>
      <c r="C9" s="306" t="s">
        <v>18</v>
      </c>
      <c r="D9" s="55" t="s">
        <v>48</v>
      </c>
      <c r="E9" s="55" t="s">
        <v>69</v>
      </c>
      <c r="F9" s="44">
        <v>13000</v>
      </c>
      <c r="G9" s="44">
        <v>9</v>
      </c>
      <c r="H9" s="45">
        <v>9</v>
      </c>
      <c r="I9" s="57">
        <f>((2000*G9)*(1+0.05*(H9-1))+F9)*(1+0.05*$B$2)</f>
        <v>42020</v>
      </c>
      <c r="J9" s="56">
        <v>9</v>
      </c>
      <c r="K9" s="47">
        <v>9</v>
      </c>
      <c r="L9" s="164">
        <v>5</v>
      </c>
      <c r="M9" s="165">
        <v>1</v>
      </c>
      <c r="N9" s="57">
        <f t="shared" si="1"/>
        <v>31.247999999999998</v>
      </c>
      <c r="O9" s="261">
        <v>8</v>
      </c>
      <c r="P9" s="262">
        <v>8</v>
      </c>
      <c r="Q9" s="263">
        <v>5</v>
      </c>
      <c r="R9" s="264">
        <v>1</v>
      </c>
      <c r="S9" s="265">
        <f t="shared" si="2"/>
        <v>26.784000000000002</v>
      </c>
      <c r="T9" s="261"/>
      <c r="U9" s="252"/>
      <c r="V9" s="253"/>
      <c r="W9" s="254"/>
      <c r="X9" s="265">
        <f t="shared" si="3"/>
        <v>0</v>
      </c>
      <c r="Y9" s="44"/>
      <c r="Z9" s="45"/>
      <c r="AA9" s="160"/>
      <c r="AB9" s="161"/>
      <c r="AC9" s="57">
        <f t="shared" si="4"/>
        <v>0</v>
      </c>
      <c r="AD9" s="44"/>
      <c r="AE9" s="45"/>
      <c r="AF9" s="160"/>
      <c r="AG9" s="161"/>
      <c r="AH9" s="57">
        <f t="shared" si="5"/>
        <v>0</v>
      </c>
      <c r="AI9" s="44">
        <v>8</v>
      </c>
      <c r="AJ9" s="45">
        <v>8</v>
      </c>
      <c r="AK9" s="160">
        <v>5</v>
      </c>
      <c r="AL9" s="161">
        <v>1</v>
      </c>
      <c r="AM9" s="227">
        <f t="shared" si="6"/>
        <v>13.392000000000001</v>
      </c>
    </row>
    <row r="10" spans="1:39" ht="15.75" thickBot="1">
      <c r="A10" s="14" t="s">
        <v>18</v>
      </c>
      <c r="B10" s="15" t="s">
        <v>19</v>
      </c>
      <c r="C10" s="306"/>
      <c r="D10" s="55" t="s">
        <v>19</v>
      </c>
      <c r="E10" s="55" t="s">
        <v>69</v>
      </c>
      <c r="F10" s="39">
        <v>7000</v>
      </c>
      <c r="G10" s="39">
        <v>8</v>
      </c>
      <c r="H10" s="40">
        <v>8</v>
      </c>
      <c r="I10" s="41">
        <f t="shared" si="0"/>
        <v>31460.000000000004</v>
      </c>
      <c r="J10" s="39"/>
      <c r="K10" s="40"/>
      <c r="L10" s="158"/>
      <c r="M10" s="159"/>
      <c r="N10" s="41">
        <f t="shared" si="1"/>
        <v>0</v>
      </c>
      <c r="O10" s="247"/>
      <c r="P10" s="248"/>
      <c r="Q10" s="249"/>
      <c r="R10" s="250"/>
      <c r="S10" s="246">
        <f t="shared" si="2"/>
        <v>0</v>
      </c>
      <c r="T10" s="247">
        <v>8</v>
      </c>
      <c r="U10" s="248">
        <v>8</v>
      </c>
      <c r="V10" s="249"/>
      <c r="W10" s="250"/>
      <c r="X10" s="246">
        <f t="shared" si="3"/>
        <v>10.8</v>
      </c>
      <c r="Y10" s="39"/>
      <c r="Z10" s="40"/>
      <c r="AA10" s="158"/>
      <c r="AB10" s="159"/>
      <c r="AC10" s="41">
        <f t="shared" si="4"/>
        <v>0</v>
      </c>
      <c r="AD10" s="39">
        <v>8</v>
      </c>
      <c r="AE10" s="40">
        <v>8</v>
      </c>
      <c r="AF10" s="158"/>
      <c r="AG10" s="159"/>
      <c r="AH10" s="41">
        <f t="shared" si="5"/>
        <v>10.8</v>
      </c>
      <c r="AI10" s="39">
        <v>8</v>
      </c>
      <c r="AJ10" s="40">
        <v>8</v>
      </c>
      <c r="AK10" s="158"/>
      <c r="AL10" s="159"/>
      <c r="AM10" s="224">
        <f t="shared" si="6"/>
        <v>10.8</v>
      </c>
    </row>
    <row r="11" spans="1:39">
      <c r="A11" s="4" t="s">
        <v>23</v>
      </c>
      <c r="B11" s="11" t="s">
        <v>24</v>
      </c>
      <c r="C11" s="298" t="s">
        <v>23</v>
      </c>
      <c r="D11" s="34" t="s">
        <v>24</v>
      </c>
      <c r="E11" s="34" t="s">
        <v>67</v>
      </c>
      <c r="F11" s="35">
        <v>2000</v>
      </c>
      <c r="G11" s="35">
        <v>10</v>
      </c>
      <c r="H11" s="58">
        <v>1</v>
      </c>
      <c r="I11" s="37">
        <f t="shared" si="0"/>
        <v>24200.000000000004</v>
      </c>
      <c r="J11" s="35">
        <v>10</v>
      </c>
      <c r="K11" s="58">
        <v>1</v>
      </c>
      <c r="L11" s="166"/>
      <c r="M11" s="167"/>
      <c r="N11" s="37">
        <f t="shared" si="1"/>
        <v>20</v>
      </c>
      <c r="O11" s="237">
        <v>10</v>
      </c>
      <c r="P11" s="238">
        <v>5</v>
      </c>
      <c r="Q11" s="239"/>
      <c r="R11" s="240"/>
      <c r="S11" s="241">
        <f t="shared" si="2"/>
        <v>24</v>
      </c>
      <c r="T11" s="237"/>
      <c r="U11" s="238"/>
      <c r="V11" s="239"/>
      <c r="W11" s="240"/>
      <c r="X11" s="241">
        <f t="shared" si="3"/>
        <v>0</v>
      </c>
      <c r="Y11" s="35">
        <v>2</v>
      </c>
      <c r="Z11" s="36">
        <v>2</v>
      </c>
      <c r="AA11" s="154"/>
      <c r="AB11" s="155"/>
      <c r="AC11" s="37">
        <f t="shared" si="4"/>
        <v>2.1</v>
      </c>
      <c r="AD11" s="35"/>
      <c r="AE11" s="36"/>
      <c r="AF11" s="154"/>
      <c r="AG11" s="155"/>
      <c r="AH11" s="37">
        <f t="shared" si="5"/>
        <v>0</v>
      </c>
      <c r="AI11" s="35"/>
      <c r="AJ11" s="36"/>
      <c r="AK11" s="154"/>
      <c r="AL11" s="155"/>
      <c r="AM11" s="223">
        <f t="shared" si="6"/>
        <v>0</v>
      </c>
    </row>
    <row r="12" spans="1:39">
      <c r="A12" s="22" t="s">
        <v>23</v>
      </c>
      <c r="B12" s="8" t="s">
        <v>117</v>
      </c>
      <c r="C12" s="306"/>
      <c r="D12" s="55" t="s">
        <v>117</v>
      </c>
      <c r="E12" s="55" t="s">
        <v>67</v>
      </c>
      <c r="F12" s="95"/>
      <c r="G12" s="95"/>
      <c r="H12" s="111"/>
      <c r="I12" s="96">
        <f t="shared" si="0"/>
        <v>0</v>
      </c>
      <c r="J12" s="95"/>
      <c r="K12" s="111"/>
      <c r="L12" s="168"/>
      <c r="M12" s="169"/>
      <c r="N12" s="96">
        <f t="shared" si="1"/>
        <v>0</v>
      </c>
      <c r="O12" s="242"/>
      <c r="P12" s="243"/>
      <c r="Q12" s="244"/>
      <c r="R12" s="245"/>
      <c r="S12" s="266">
        <f t="shared" si="2"/>
        <v>0</v>
      </c>
      <c r="T12" s="242"/>
      <c r="U12" s="243"/>
      <c r="V12" s="244"/>
      <c r="W12" s="245"/>
      <c r="X12" s="266">
        <f t="shared" si="3"/>
        <v>0</v>
      </c>
      <c r="Y12" s="95"/>
      <c r="Z12" s="94"/>
      <c r="AA12" s="156"/>
      <c r="AB12" s="157"/>
      <c r="AC12" s="96">
        <f t="shared" si="4"/>
        <v>0</v>
      </c>
      <c r="AD12" s="95"/>
      <c r="AE12" s="94"/>
      <c r="AF12" s="156"/>
      <c r="AG12" s="157"/>
      <c r="AH12" s="96">
        <f t="shared" si="5"/>
        <v>0</v>
      </c>
      <c r="AI12" s="95"/>
      <c r="AJ12" s="94"/>
      <c r="AK12" s="156"/>
      <c r="AL12" s="157"/>
      <c r="AM12" s="228">
        <f t="shared" si="6"/>
        <v>0</v>
      </c>
    </row>
    <row r="13" spans="1:39" ht="15.75" thickBot="1">
      <c r="A13" s="5" t="s">
        <v>23</v>
      </c>
      <c r="B13" s="10" t="s">
        <v>25</v>
      </c>
      <c r="C13" s="299"/>
      <c r="D13" s="48" t="s">
        <v>25</v>
      </c>
      <c r="E13" s="48" t="s">
        <v>67</v>
      </c>
      <c r="F13" s="49">
        <v>2000</v>
      </c>
      <c r="G13" s="49"/>
      <c r="H13" s="50"/>
      <c r="I13" s="51">
        <f t="shared" si="0"/>
        <v>2200</v>
      </c>
      <c r="J13" s="49"/>
      <c r="K13" s="50"/>
      <c r="L13" s="170"/>
      <c r="M13" s="171"/>
      <c r="N13" s="51">
        <f t="shared" si="1"/>
        <v>0</v>
      </c>
      <c r="O13" s="267"/>
      <c r="P13" s="268"/>
      <c r="Q13" s="269"/>
      <c r="R13" s="270"/>
      <c r="S13" s="271">
        <f t="shared" si="2"/>
        <v>0</v>
      </c>
      <c r="T13" s="267"/>
      <c r="U13" s="268"/>
      <c r="V13" s="269"/>
      <c r="W13" s="270"/>
      <c r="X13" s="271">
        <f t="shared" si="3"/>
        <v>0</v>
      </c>
      <c r="Y13" s="49">
        <v>9</v>
      </c>
      <c r="Z13" s="59">
        <v>1</v>
      </c>
      <c r="AA13" s="194"/>
      <c r="AB13" s="195"/>
      <c r="AC13" s="51">
        <f t="shared" si="4"/>
        <v>9</v>
      </c>
      <c r="AD13" s="49"/>
      <c r="AE13" s="50"/>
      <c r="AF13" s="170"/>
      <c r="AG13" s="171"/>
      <c r="AH13" s="51">
        <f t="shared" si="5"/>
        <v>0</v>
      </c>
      <c r="AI13" s="49"/>
      <c r="AJ13" s="50"/>
      <c r="AK13" s="170"/>
      <c r="AL13" s="171"/>
      <c r="AM13" s="229">
        <f t="shared" si="6"/>
        <v>0</v>
      </c>
    </row>
    <row r="14" spans="1:39">
      <c r="A14" s="22" t="s">
        <v>41</v>
      </c>
      <c r="B14" s="8" t="s">
        <v>63</v>
      </c>
      <c r="C14" s="298" t="s">
        <v>41</v>
      </c>
      <c r="D14" s="55" t="s">
        <v>63</v>
      </c>
      <c r="E14" s="55" t="s">
        <v>67</v>
      </c>
      <c r="F14" s="44">
        <v>2000</v>
      </c>
      <c r="G14" s="44">
        <v>8</v>
      </c>
      <c r="H14" s="45">
        <v>1</v>
      </c>
      <c r="I14" s="46">
        <f t="shared" si="0"/>
        <v>19800</v>
      </c>
      <c r="J14" s="44">
        <v>3</v>
      </c>
      <c r="K14" s="60">
        <v>1</v>
      </c>
      <c r="L14" s="172"/>
      <c r="M14" s="173"/>
      <c r="N14" s="46">
        <f t="shared" si="1"/>
        <v>6</v>
      </c>
      <c r="O14" s="251"/>
      <c r="P14" s="252"/>
      <c r="Q14" s="253"/>
      <c r="R14" s="254"/>
      <c r="S14" s="255">
        <f t="shared" si="2"/>
        <v>0</v>
      </c>
      <c r="T14" s="251"/>
      <c r="U14" s="252"/>
      <c r="V14" s="253"/>
      <c r="W14" s="254"/>
      <c r="X14" s="255">
        <f t="shared" si="3"/>
        <v>0</v>
      </c>
      <c r="Y14" s="44"/>
      <c r="Z14" s="60"/>
      <c r="AA14" s="172"/>
      <c r="AB14" s="173"/>
      <c r="AC14" s="46">
        <f t="shared" si="4"/>
        <v>0</v>
      </c>
      <c r="AD14" s="44"/>
      <c r="AE14" s="60"/>
      <c r="AF14" s="172"/>
      <c r="AG14" s="173"/>
      <c r="AH14" s="46">
        <f t="shared" si="5"/>
        <v>0</v>
      </c>
      <c r="AI14" s="44"/>
      <c r="AJ14" s="45"/>
      <c r="AK14" s="160"/>
      <c r="AL14" s="161"/>
      <c r="AM14" s="225">
        <f t="shared" si="6"/>
        <v>0</v>
      </c>
    </row>
    <row r="15" spans="1:39">
      <c r="A15" s="22" t="s">
        <v>41</v>
      </c>
      <c r="B15" s="8" t="s">
        <v>125</v>
      </c>
      <c r="C15" s="310"/>
      <c r="D15" s="55" t="s">
        <v>125</v>
      </c>
      <c r="E15" s="55" t="s">
        <v>67</v>
      </c>
      <c r="F15" s="95"/>
      <c r="G15" s="95"/>
      <c r="H15" s="94"/>
      <c r="I15" s="96">
        <f t="shared" si="0"/>
        <v>0</v>
      </c>
      <c r="J15" s="95"/>
      <c r="K15" s="111"/>
      <c r="L15" s="168"/>
      <c r="M15" s="169"/>
      <c r="N15" s="96">
        <f t="shared" si="1"/>
        <v>0</v>
      </c>
      <c r="O15" s="242"/>
      <c r="P15" s="243"/>
      <c r="Q15" s="244"/>
      <c r="R15" s="245"/>
      <c r="S15" s="266">
        <f t="shared" si="2"/>
        <v>0</v>
      </c>
      <c r="T15" s="242"/>
      <c r="U15" s="243"/>
      <c r="V15" s="244"/>
      <c r="W15" s="245"/>
      <c r="X15" s="266">
        <f t="shared" si="3"/>
        <v>0</v>
      </c>
      <c r="Y15" s="95"/>
      <c r="Z15" s="111"/>
      <c r="AA15" s="168"/>
      <c r="AB15" s="169"/>
      <c r="AC15" s="96">
        <f t="shared" si="4"/>
        <v>0</v>
      </c>
      <c r="AD15" s="44">
        <v>2</v>
      </c>
      <c r="AE15" s="60">
        <v>1</v>
      </c>
      <c r="AF15" s="172"/>
      <c r="AG15" s="173"/>
      <c r="AH15" s="96">
        <f t="shared" si="5"/>
        <v>2</v>
      </c>
      <c r="AI15" s="95">
        <v>2</v>
      </c>
      <c r="AJ15" s="94">
        <v>1</v>
      </c>
      <c r="AK15" s="156"/>
      <c r="AL15" s="157"/>
      <c r="AM15" s="228">
        <f t="shared" si="6"/>
        <v>2</v>
      </c>
    </row>
    <row r="16" spans="1:39" ht="15.75" thickBot="1">
      <c r="A16" s="6" t="s">
        <v>41</v>
      </c>
      <c r="B16" s="8" t="s">
        <v>42</v>
      </c>
      <c r="C16" s="311"/>
      <c r="D16" s="55" t="s">
        <v>42</v>
      </c>
      <c r="E16" s="55" t="s">
        <v>67</v>
      </c>
      <c r="F16" s="39">
        <v>2000</v>
      </c>
      <c r="G16" s="39">
        <v>9</v>
      </c>
      <c r="H16" s="61">
        <v>1</v>
      </c>
      <c r="I16" s="41">
        <f t="shared" si="0"/>
        <v>22000</v>
      </c>
      <c r="J16" s="39"/>
      <c r="K16" s="40"/>
      <c r="L16" s="158"/>
      <c r="M16" s="159"/>
      <c r="N16" s="41">
        <f t="shared" si="1"/>
        <v>0</v>
      </c>
      <c r="O16" s="247">
        <v>7</v>
      </c>
      <c r="P16" s="272">
        <v>1</v>
      </c>
      <c r="Q16" s="273"/>
      <c r="R16" s="274"/>
      <c r="S16" s="246">
        <f t="shared" si="2"/>
        <v>14</v>
      </c>
      <c r="T16" s="247">
        <v>9</v>
      </c>
      <c r="U16" s="272">
        <v>1</v>
      </c>
      <c r="V16" s="273"/>
      <c r="W16" s="274"/>
      <c r="X16" s="246">
        <f t="shared" si="3"/>
        <v>9</v>
      </c>
      <c r="Y16" s="39">
        <v>7</v>
      </c>
      <c r="Z16" s="61">
        <v>1</v>
      </c>
      <c r="AA16" s="188"/>
      <c r="AB16" s="189"/>
      <c r="AC16" s="41">
        <f t="shared" si="4"/>
        <v>7</v>
      </c>
      <c r="AD16" s="44"/>
      <c r="AE16" s="60"/>
      <c r="AF16" s="172"/>
      <c r="AG16" s="173"/>
      <c r="AH16" s="41">
        <f t="shared" si="5"/>
        <v>0</v>
      </c>
      <c r="AI16" s="39"/>
      <c r="AJ16" s="40"/>
      <c r="AK16" s="158"/>
      <c r="AL16" s="159"/>
      <c r="AM16" s="224">
        <f t="shared" si="6"/>
        <v>0</v>
      </c>
    </row>
    <row r="17" spans="1:39" ht="15.75" thickBot="1">
      <c r="A17" s="3" t="s">
        <v>33</v>
      </c>
      <c r="B17" s="9" t="s">
        <v>32</v>
      </c>
      <c r="C17" s="62" t="s">
        <v>33</v>
      </c>
      <c r="D17" s="63" t="s">
        <v>32</v>
      </c>
      <c r="E17" s="63"/>
      <c r="F17" s="64">
        <v>2000</v>
      </c>
      <c r="G17" s="64">
        <v>3</v>
      </c>
      <c r="H17" s="65">
        <v>1</v>
      </c>
      <c r="I17" s="66">
        <f t="shared" si="0"/>
        <v>8800</v>
      </c>
      <c r="J17" s="64">
        <v>2</v>
      </c>
      <c r="K17" s="67">
        <v>1</v>
      </c>
      <c r="L17" s="174"/>
      <c r="M17" s="175"/>
      <c r="N17" s="66">
        <f t="shared" si="1"/>
        <v>4</v>
      </c>
      <c r="O17" s="275"/>
      <c r="P17" s="276"/>
      <c r="Q17" s="277"/>
      <c r="R17" s="278"/>
      <c r="S17" s="279">
        <f t="shared" si="2"/>
        <v>0</v>
      </c>
      <c r="T17" s="275"/>
      <c r="U17" s="276"/>
      <c r="V17" s="277"/>
      <c r="W17" s="278"/>
      <c r="X17" s="279">
        <f t="shared" si="3"/>
        <v>0</v>
      </c>
      <c r="Y17" s="64"/>
      <c r="Z17" s="67"/>
      <c r="AA17" s="174"/>
      <c r="AB17" s="175"/>
      <c r="AC17" s="66">
        <f t="shared" si="4"/>
        <v>0</v>
      </c>
      <c r="AD17" s="64"/>
      <c r="AE17" s="67"/>
      <c r="AF17" s="174"/>
      <c r="AG17" s="175"/>
      <c r="AH17" s="66">
        <f t="shared" si="5"/>
        <v>0</v>
      </c>
      <c r="AI17" s="64"/>
      <c r="AJ17" s="67"/>
      <c r="AK17" s="174"/>
      <c r="AL17" s="175"/>
      <c r="AM17" s="68">
        <f t="shared" si="6"/>
        <v>0</v>
      </c>
    </row>
    <row r="18" spans="1:39">
      <c r="A18" s="14" t="s">
        <v>37</v>
      </c>
      <c r="B18" s="15" t="s">
        <v>45</v>
      </c>
      <c r="C18" s="298" t="s">
        <v>37</v>
      </c>
      <c r="D18" s="348" t="s">
        <v>45</v>
      </c>
      <c r="E18" s="348" t="s">
        <v>69</v>
      </c>
      <c r="F18" s="69">
        <v>7000</v>
      </c>
      <c r="G18" s="70">
        <v>8</v>
      </c>
      <c r="H18" s="71">
        <v>8</v>
      </c>
      <c r="I18" s="72">
        <f t="shared" si="0"/>
        <v>31460.000000000004</v>
      </c>
      <c r="J18" s="69"/>
      <c r="K18" s="73"/>
      <c r="L18" s="176"/>
      <c r="M18" s="177"/>
      <c r="N18" s="72">
        <f t="shared" si="1"/>
        <v>0</v>
      </c>
      <c r="O18" s="280"/>
      <c r="P18" s="281"/>
      <c r="Q18" s="282"/>
      <c r="R18" s="283"/>
      <c r="S18" s="284">
        <f t="shared" si="2"/>
        <v>0</v>
      </c>
      <c r="T18" s="280">
        <v>6</v>
      </c>
      <c r="U18" s="281">
        <v>6</v>
      </c>
      <c r="V18" s="282"/>
      <c r="W18" s="283"/>
      <c r="X18" s="284">
        <f t="shared" si="3"/>
        <v>7.5</v>
      </c>
      <c r="Y18" s="69"/>
      <c r="Z18" s="73"/>
      <c r="AA18" s="176"/>
      <c r="AB18" s="177"/>
      <c r="AC18" s="72">
        <f t="shared" si="4"/>
        <v>0</v>
      </c>
      <c r="AD18" s="69">
        <v>7</v>
      </c>
      <c r="AE18" s="73">
        <v>7</v>
      </c>
      <c r="AF18" s="176"/>
      <c r="AG18" s="177"/>
      <c r="AH18" s="72">
        <f t="shared" si="5"/>
        <v>9.1</v>
      </c>
      <c r="AI18" s="69"/>
      <c r="AJ18" s="73"/>
      <c r="AK18" s="176"/>
      <c r="AL18" s="177"/>
      <c r="AM18" s="230">
        <f t="shared" si="6"/>
        <v>0</v>
      </c>
    </row>
    <row r="19" spans="1:39">
      <c r="A19" s="14" t="s">
        <v>37</v>
      </c>
      <c r="B19" s="15" t="s">
        <v>45</v>
      </c>
      <c r="C19" s="306"/>
      <c r="D19" s="294"/>
      <c r="E19" s="349"/>
      <c r="F19" s="44"/>
      <c r="G19" s="56"/>
      <c r="H19" s="47"/>
      <c r="I19" s="46">
        <f t="shared" si="0"/>
        <v>0</v>
      </c>
      <c r="J19" s="44"/>
      <c r="K19" s="45"/>
      <c r="L19" s="160"/>
      <c r="M19" s="161"/>
      <c r="N19" s="46">
        <f t="shared" si="1"/>
        <v>0</v>
      </c>
      <c r="O19" s="44"/>
      <c r="P19" s="45"/>
      <c r="Q19" s="160"/>
      <c r="R19" s="161"/>
      <c r="S19" s="46">
        <f t="shared" si="2"/>
        <v>0</v>
      </c>
      <c r="T19" s="44"/>
      <c r="U19" s="45"/>
      <c r="V19" s="160"/>
      <c r="W19" s="161"/>
      <c r="X19" s="46">
        <f t="shared" si="3"/>
        <v>0</v>
      </c>
      <c r="Y19" s="44"/>
      <c r="Z19" s="45"/>
      <c r="AA19" s="160"/>
      <c r="AB19" s="161"/>
      <c r="AC19" s="46">
        <f t="shared" si="4"/>
        <v>0</v>
      </c>
      <c r="AD19" s="44">
        <v>6</v>
      </c>
      <c r="AE19" s="45">
        <v>6</v>
      </c>
      <c r="AF19" s="160"/>
      <c r="AG19" s="161"/>
      <c r="AH19" s="46">
        <f t="shared" si="5"/>
        <v>7.5</v>
      </c>
      <c r="AI19" s="44"/>
      <c r="AJ19" s="45"/>
      <c r="AK19" s="160"/>
      <c r="AL19" s="161"/>
      <c r="AM19" s="225">
        <f t="shared" si="6"/>
        <v>0</v>
      </c>
    </row>
    <row r="20" spans="1:39">
      <c r="A20" s="14" t="s">
        <v>37</v>
      </c>
      <c r="B20" s="15" t="s">
        <v>74</v>
      </c>
      <c r="C20" s="306"/>
      <c r="D20" s="91" t="s">
        <v>74</v>
      </c>
      <c r="E20" s="97" t="s">
        <v>69</v>
      </c>
      <c r="F20" s="44">
        <v>2000</v>
      </c>
      <c r="G20" s="56">
        <v>7</v>
      </c>
      <c r="H20" s="47">
        <v>7</v>
      </c>
      <c r="I20" s="46">
        <f t="shared" si="0"/>
        <v>22220</v>
      </c>
      <c r="J20" s="44">
        <v>6</v>
      </c>
      <c r="K20" s="45">
        <v>6</v>
      </c>
      <c r="L20" s="160"/>
      <c r="M20" s="161"/>
      <c r="N20" s="46">
        <f t="shared" si="1"/>
        <v>15</v>
      </c>
      <c r="O20" s="44">
        <v>5</v>
      </c>
      <c r="P20" s="45">
        <v>5</v>
      </c>
      <c r="Q20" s="160"/>
      <c r="R20" s="161"/>
      <c r="S20" s="46">
        <f t="shared" si="2"/>
        <v>12</v>
      </c>
      <c r="T20" s="44"/>
      <c r="U20" s="45"/>
      <c r="V20" s="160"/>
      <c r="W20" s="161"/>
      <c r="X20" s="46">
        <f t="shared" si="3"/>
        <v>0</v>
      </c>
      <c r="Y20" s="44"/>
      <c r="Z20" s="45"/>
      <c r="AA20" s="160"/>
      <c r="AB20" s="161"/>
      <c r="AC20" s="46">
        <f t="shared" si="4"/>
        <v>0</v>
      </c>
      <c r="AD20" s="44"/>
      <c r="AE20" s="45"/>
      <c r="AF20" s="160"/>
      <c r="AG20" s="161"/>
      <c r="AH20" s="46">
        <f t="shared" si="5"/>
        <v>0</v>
      </c>
      <c r="AI20" s="44">
        <v>5</v>
      </c>
      <c r="AJ20" s="45">
        <v>5</v>
      </c>
      <c r="AK20" s="160"/>
      <c r="AL20" s="161"/>
      <c r="AM20" s="225">
        <f t="shared" si="6"/>
        <v>6</v>
      </c>
    </row>
    <row r="21" spans="1:39">
      <c r="A21" s="14" t="s">
        <v>37</v>
      </c>
      <c r="B21" s="15" t="s">
        <v>75</v>
      </c>
      <c r="C21" s="306"/>
      <c r="D21" s="55" t="s">
        <v>75</v>
      </c>
      <c r="E21" s="55" t="s">
        <v>69</v>
      </c>
      <c r="F21" s="44">
        <v>2000</v>
      </c>
      <c r="G21" s="128">
        <v>7</v>
      </c>
      <c r="H21" s="47">
        <v>7</v>
      </c>
      <c r="I21" s="46">
        <f t="shared" si="0"/>
        <v>22220</v>
      </c>
      <c r="J21" s="44">
        <v>6</v>
      </c>
      <c r="K21" s="45">
        <v>6</v>
      </c>
      <c r="L21" s="160"/>
      <c r="M21" s="161"/>
      <c r="N21" s="46">
        <f t="shared" si="1"/>
        <v>15</v>
      </c>
      <c r="O21" s="44">
        <v>6</v>
      </c>
      <c r="P21" s="45">
        <v>6</v>
      </c>
      <c r="Q21" s="160"/>
      <c r="R21" s="161"/>
      <c r="S21" s="46">
        <f t="shared" si="2"/>
        <v>15</v>
      </c>
      <c r="T21" s="44"/>
      <c r="U21" s="45"/>
      <c r="V21" s="160"/>
      <c r="W21" s="161"/>
      <c r="X21" s="46">
        <f t="shared" si="3"/>
        <v>0</v>
      </c>
      <c r="Y21" s="44"/>
      <c r="Z21" s="45"/>
      <c r="AA21" s="160"/>
      <c r="AB21" s="161"/>
      <c r="AC21" s="46">
        <f t="shared" si="4"/>
        <v>0</v>
      </c>
      <c r="AD21" s="44"/>
      <c r="AE21" s="45"/>
      <c r="AF21" s="160"/>
      <c r="AG21" s="161"/>
      <c r="AH21" s="46">
        <f t="shared" si="5"/>
        <v>0</v>
      </c>
      <c r="AI21" s="44">
        <v>6</v>
      </c>
      <c r="AJ21" s="45">
        <v>6</v>
      </c>
      <c r="AK21" s="160"/>
      <c r="AL21" s="161"/>
      <c r="AM21" s="225">
        <f t="shared" si="6"/>
        <v>7.5</v>
      </c>
    </row>
    <row r="22" spans="1:39" ht="15.75" thickBot="1">
      <c r="A22" s="14" t="s">
        <v>37</v>
      </c>
      <c r="B22" s="15" t="s">
        <v>52</v>
      </c>
      <c r="C22" s="299"/>
      <c r="D22" s="91" t="s">
        <v>52</v>
      </c>
      <c r="E22" s="97" t="s">
        <v>69</v>
      </c>
      <c r="F22" s="74">
        <v>13000</v>
      </c>
      <c r="G22" s="75">
        <v>8</v>
      </c>
      <c r="H22" s="76">
        <v>2</v>
      </c>
      <c r="I22" s="77">
        <f t="shared" si="0"/>
        <v>32780</v>
      </c>
      <c r="J22" s="74">
        <v>7</v>
      </c>
      <c r="K22" s="78">
        <v>1</v>
      </c>
      <c r="L22" s="178"/>
      <c r="M22" s="179"/>
      <c r="N22" s="77">
        <f t="shared" si="1"/>
        <v>14</v>
      </c>
      <c r="O22" s="74">
        <v>7</v>
      </c>
      <c r="P22" s="78">
        <v>2</v>
      </c>
      <c r="Q22" s="178"/>
      <c r="R22" s="179"/>
      <c r="S22" s="77">
        <f t="shared" si="2"/>
        <v>14.700000000000001</v>
      </c>
      <c r="T22" s="74"/>
      <c r="U22" s="78"/>
      <c r="V22" s="178"/>
      <c r="W22" s="179"/>
      <c r="X22" s="77">
        <f t="shared" si="3"/>
        <v>0</v>
      </c>
      <c r="Y22" s="74"/>
      <c r="Z22" s="78"/>
      <c r="AA22" s="178"/>
      <c r="AB22" s="179"/>
      <c r="AC22" s="77">
        <f t="shared" si="4"/>
        <v>0</v>
      </c>
      <c r="AD22" s="74"/>
      <c r="AE22" s="78"/>
      <c r="AF22" s="178"/>
      <c r="AG22" s="179"/>
      <c r="AH22" s="77">
        <f t="shared" si="5"/>
        <v>0</v>
      </c>
      <c r="AI22" s="74">
        <v>7</v>
      </c>
      <c r="AJ22" s="78">
        <v>1</v>
      </c>
      <c r="AK22" s="178"/>
      <c r="AL22" s="179"/>
      <c r="AM22" s="231">
        <f t="shared" si="6"/>
        <v>7</v>
      </c>
    </row>
    <row r="23" spans="1:39">
      <c r="A23" s="12" t="s">
        <v>29</v>
      </c>
      <c r="B23" s="13" t="s">
        <v>30</v>
      </c>
      <c r="C23" s="298" t="s">
        <v>29</v>
      </c>
      <c r="D23" s="34" t="s">
        <v>30</v>
      </c>
      <c r="E23" s="34" t="s">
        <v>68</v>
      </c>
      <c r="F23" s="79">
        <v>7000</v>
      </c>
      <c r="G23" s="38">
        <v>7</v>
      </c>
      <c r="H23" s="38">
        <v>3</v>
      </c>
      <c r="I23" s="81">
        <f t="shared" si="0"/>
        <v>24640.000000000004</v>
      </c>
      <c r="J23" s="80">
        <v>5</v>
      </c>
      <c r="K23" s="38">
        <v>1</v>
      </c>
      <c r="L23" s="180"/>
      <c r="M23" s="181"/>
      <c r="N23" s="81">
        <f t="shared" si="1"/>
        <v>10</v>
      </c>
      <c r="O23" s="38">
        <v>7</v>
      </c>
      <c r="P23" s="38">
        <v>1</v>
      </c>
      <c r="Q23" s="180"/>
      <c r="R23" s="181"/>
      <c r="S23" s="81">
        <f t="shared" si="2"/>
        <v>14</v>
      </c>
      <c r="T23" s="80">
        <v>4</v>
      </c>
      <c r="U23" s="38">
        <v>3</v>
      </c>
      <c r="V23" s="180"/>
      <c r="W23" s="181"/>
      <c r="X23" s="81">
        <f t="shared" si="3"/>
        <v>4.4000000000000004</v>
      </c>
      <c r="Y23" s="38"/>
      <c r="Z23" s="38"/>
      <c r="AA23" s="180"/>
      <c r="AB23" s="181"/>
      <c r="AC23" s="81">
        <f t="shared" si="4"/>
        <v>0</v>
      </c>
      <c r="AD23" s="38"/>
      <c r="AE23" s="38"/>
      <c r="AF23" s="180"/>
      <c r="AG23" s="181"/>
      <c r="AH23" s="81">
        <f t="shared" si="5"/>
        <v>0</v>
      </c>
      <c r="AI23" s="80"/>
      <c r="AJ23" s="38"/>
      <c r="AK23" s="180"/>
      <c r="AL23" s="181"/>
      <c r="AM23" s="232">
        <f t="shared" si="6"/>
        <v>0</v>
      </c>
    </row>
    <row r="24" spans="1:39">
      <c r="A24" s="14" t="s">
        <v>29</v>
      </c>
      <c r="B24" s="15" t="s">
        <v>80</v>
      </c>
      <c r="C24" s="306"/>
      <c r="D24" s="293" t="s">
        <v>81</v>
      </c>
      <c r="E24" s="293" t="s">
        <v>67</v>
      </c>
      <c r="F24" s="82">
        <v>2000</v>
      </c>
      <c r="G24" s="42">
        <v>7</v>
      </c>
      <c r="H24" s="42">
        <v>3</v>
      </c>
      <c r="I24" s="84">
        <f t="shared" si="0"/>
        <v>19140</v>
      </c>
      <c r="J24" s="83"/>
      <c r="K24" s="42"/>
      <c r="L24" s="182"/>
      <c r="M24" s="183"/>
      <c r="N24" s="84">
        <f t="shared" si="1"/>
        <v>0</v>
      </c>
      <c r="O24" s="42">
        <v>6</v>
      </c>
      <c r="P24" s="42">
        <v>3</v>
      </c>
      <c r="Q24" s="182"/>
      <c r="R24" s="183"/>
      <c r="S24" s="84">
        <f t="shared" si="2"/>
        <v>13.200000000000001</v>
      </c>
      <c r="T24" s="83"/>
      <c r="U24" s="42"/>
      <c r="V24" s="182"/>
      <c r="W24" s="183"/>
      <c r="X24" s="84">
        <f t="shared" si="3"/>
        <v>0</v>
      </c>
      <c r="Y24" s="42"/>
      <c r="Z24" s="42"/>
      <c r="AA24" s="182"/>
      <c r="AB24" s="183"/>
      <c r="AC24" s="84">
        <f t="shared" si="4"/>
        <v>0</v>
      </c>
      <c r="AD24" s="42"/>
      <c r="AE24" s="42"/>
      <c r="AF24" s="182"/>
      <c r="AG24" s="183"/>
      <c r="AH24" s="84">
        <f t="shared" si="5"/>
        <v>0</v>
      </c>
      <c r="AI24" s="83">
        <v>4</v>
      </c>
      <c r="AJ24" s="42">
        <v>2</v>
      </c>
      <c r="AK24" s="182"/>
      <c r="AL24" s="183"/>
      <c r="AM24" s="233">
        <f t="shared" si="6"/>
        <v>4.2</v>
      </c>
    </row>
    <row r="25" spans="1:39">
      <c r="A25" s="14" t="s">
        <v>29</v>
      </c>
      <c r="B25" s="15" t="s">
        <v>80</v>
      </c>
      <c r="C25" s="306"/>
      <c r="D25" s="294"/>
      <c r="E25" s="294"/>
      <c r="F25" s="85"/>
      <c r="G25" s="47"/>
      <c r="H25" s="47"/>
      <c r="I25" s="57">
        <f t="shared" si="0"/>
        <v>0</v>
      </c>
      <c r="J25" s="56"/>
      <c r="K25" s="47"/>
      <c r="L25" s="164"/>
      <c r="M25" s="165"/>
      <c r="N25" s="57">
        <f t="shared" si="1"/>
        <v>0</v>
      </c>
      <c r="O25" s="47"/>
      <c r="P25" s="47"/>
      <c r="Q25" s="164"/>
      <c r="R25" s="165"/>
      <c r="S25" s="57">
        <f t="shared" si="2"/>
        <v>0</v>
      </c>
      <c r="T25" s="56"/>
      <c r="U25" s="47"/>
      <c r="V25" s="164"/>
      <c r="W25" s="165"/>
      <c r="X25" s="57">
        <f t="shared" si="3"/>
        <v>0</v>
      </c>
      <c r="Y25" s="47"/>
      <c r="Z25" s="47"/>
      <c r="AA25" s="164"/>
      <c r="AB25" s="165"/>
      <c r="AC25" s="57">
        <f t="shared" si="4"/>
        <v>0</v>
      </c>
      <c r="AD25" s="47"/>
      <c r="AE25" s="47"/>
      <c r="AF25" s="164"/>
      <c r="AG25" s="165"/>
      <c r="AH25" s="57">
        <f t="shared" si="5"/>
        <v>0</v>
      </c>
      <c r="AI25" s="56">
        <v>4</v>
      </c>
      <c r="AJ25" s="47">
        <v>1</v>
      </c>
      <c r="AK25" s="164"/>
      <c r="AL25" s="165"/>
      <c r="AM25" s="227">
        <f t="shared" si="6"/>
        <v>4</v>
      </c>
    </row>
    <row r="26" spans="1:39">
      <c r="A26" s="14" t="s">
        <v>29</v>
      </c>
      <c r="B26" s="15" t="s">
        <v>49</v>
      </c>
      <c r="C26" s="306"/>
      <c r="D26" s="300" t="s">
        <v>49</v>
      </c>
      <c r="E26" s="293" t="s">
        <v>67</v>
      </c>
      <c r="F26" s="139">
        <v>4000</v>
      </c>
      <c r="G26" s="127"/>
      <c r="H26" s="127"/>
      <c r="I26" s="141">
        <f t="shared" si="0"/>
        <v>4400</v>
      </c>
      <c r="J26" s="140">
        <v>7</v>
      </c>
      <c r="K26" s="127">
        <v>3</v>
      </c>
      <c r="L26" s="184"/>
      <c r="M26" s="185"/>
      <c r="N26" s="141">
        <f t="shared" si="1"/>
        <v>15.400000000000002</v>
      </c>
      <c r="O26" s="127"/>
      <c r="P26" s="127"/>
      <c r="Q26" s="184"/>
      <c r="R26" s="185"/>
      <c r="S26" s="141">
        <f t="shared" si="2"/>
        <v>0</v>
      </c>
      <c r="T26" s="140">
        <v>6</v>
      </c>
      <c r="U26" s="127">
        <v>3</v>
      </c>
      <c r="V26" s="184"/>
      <c r="W26" s="185"/>
      <c r="X26" s="141">
        <f t="shared" si="3"/>
        <v>6.6000000000000005</v>
      </c>
      <c r="Y26" s="127"/>
      <c r="Z26" s="127"/>
      <c r="AA26" s="184"/>
      <c r="AB26" s="185"/>
      <c r="AC26" s="141">
        <f t="shared" si="4"/>
        <v>0</v>
      </c>
      <c r="AD26" s="127">
        <v>6</v>
      </c>
      <c r="AE26" s="127">
        <v>3</v>
      </c>
      <c r="AF26" s="184"/>
      <c r="AG26" s="185"/>
      <c r="AH26" s="141">
        <f t="shared" si="5"/>
        <v>6.6000000000000005</v>
      </c>
      <c r="AI26" s="140"/>
      <c r="AJ26" s="127"/>
      <c r="AK26" s="184"/>
      <c r="AL26" s="185"/>
      <c r="AM26" s="234">
        <f t="shared" si="6"/>
        <v>0</v>
      </c>
    </row>
    <row r="27" spans="1:39">
      <c r="A27" s="14" t="s">
        <v>29</v>
      </c>
      <c r="B27" s="15" t="s">
        <v>49</v>
      </c>
      <c r="C27" s="306"/>
      <c r="D27" s="294"/>
      <c r="E27" s="294"/>
      <c r="F27" s="85"/>
      <c r="G27" s="47"/>
      <c r="H27" s="47"/>
      <c r="I27" s="57">
        <f t="shared" si="0"/>
        <v>0</v>
      </c>
      <c r="J27" s="56"/>
      <c r="K27" s="47"/>
      <c r="L27" s="164"/>
      <c r="M27" s="165"/>
      <c r="N27" s="57">
        <f t="shared" si="1"/>
        <v>0</v>
      </c>
      <c r="O27" s="47"/>
      <c r="P27" s="47"/>
      <c r="Q27" s="164"/>
      <c r="R27" s="165"/>
      <c r="S27" s="57">
        <f t="shared" si="2"/>
        <v>0</v>
      </c>
      <c r="T27" s="56">
        <v>5</v>
      </c>
      <c r="U27" s="47">
        <v>3</v>
      </c>
      <c r="V27" s="164"/>
      <c r="W27" s="165"/>
      <c r="X27" s="57">
        <f t="shared" si="3"/>
        <v>5.5</v>
      </c>
      <c r="Y27" s="47"/>
      <c r="Z27" s="47"/>
      <c r="AA27" s="164"/>
      <c r="AB27" s="165"/>
      <c r="AC27" s="57">
        <f t="shared" si="4"/>
        <v>0</v>
      </c>
      <c r="AD27" s="47"/>
      <c r="AE27" s="47"/>
      <c r="AF27" s="164"/>
      <c r="AG27" s="165"/>
      <c r="AH27" s="57">
        <f t="shared" si="5"/>
        <v>0</v>
      </c>
      <c r="AI27" s="56"/>
      <c r="AJ27" s="47"/>
      <c r="AK27" s="164"/>
      <c r="AL27" s="165"/>
      <c r="AM27" s="227">
        <f t="shared" si="6"/>
        <v>0</v>
      </c>
    </row>
    <row r="28" spans="1:39" ht="15.75" thickBot="1">
      <c r="A28" s="16" t="s">
        <v>29</v>
      </c>
      <c r="B28" s="17" t="s">
        <v>31</v>
      </c>
      <c r="C28" s="299"/>
      <c r="D28" s="48" t="s">
        <v>31</v>
      </c>
      <c r="E28" s="48" t="s">
        <v>67</v>
      </c>
      <c r="F28" s="86">
        <v>13000</v>
      </c>
      <c r="G28" s="53">
        <v>9</v>
      </c>
      <c r="H28" s="53">
        <v>4</v>
      </c>
      <c r="I28" s="54">
        <f t="shared" si="0"/>
        <v>37070</v>
      </c>
      <c r="J28" s="52">
        <v>8</v>
      </c>
      <c r="K28" s="53">
        <v>3</v>
      </c>
      <c r="L28" s="162">
        <v>3</v>
      </c>
      <c r="M28" s="163">
        <v>1</v>
      </c>
      <c r="N28" s="54">
        <f t="shared" si="1"/>
        <v>20.134399999999999</v>
      </c>
      <c r="O28" s="53">
        <v>9</v>
      </c>
      <c r="P28" s="53">
        <v>3</v>
      </c>
      <c r="Q28" s="162">
        <v>3</v>
      </c>
      <c r="R28" s="163">
        <v>1</v>
      </c>
      <c r="S28" s="54">
        <f t="shared" si="2"/>
        <v>22.651199999999999</v>
      </c>
      <c r="T28" s="52"/>
      <c r="U28" s="53"/>
      <c r="V28" s="162"/>
      <c r="W28" s="163"/>
      <c r="X28" s="54">
        <f t="shared" si="3"/>
        <v>0</v>
      </c>
      <c r="Y28" s="53">
        <v>8</v>
      </c>
      <c r="Z28" s="53">
        <v>2</v>
      </c>
      <c r="AA28" s="162">
        <v>2</v>
      </c>
      <c r="AB28" s="163">
        <v>1</v>
      </c>
      <c r="AC28" s="54">
        <f t="shared" si="4"/>
        <v>9.2064000000000004</v>
      </c>
      <c r="AD28" s="53"/>
      <c r="AE28" s="53"/>
      <c r="AF28" s="162"/>
      <c r="AG28" s="163"/>
      <c r="AH28" s="54">
        <f t="shared" si="5"/>
        <v>0</v>
      </c>
      <c r="AI28" s="52"/>
      <c r="AJ28" s="53"/>
      <c r="AK28" s="162"/>
      <c r="AL28" s="163"/>
      <c r="AM28" s="226">
        <f t="shared" si="6"/>
        <v>0</v>
      </c>
    </row>
    <row r="29" spans="1:39">
      <c r="A29" s="12" t="s">
        <v>0</v>
      </c>
      <c r="B29" s="15" t="s">
        <v>3</v>
      </c>
      <c r="C29" s="306" t="s">
        <v>0</v>
      </c>
      <c r="D29" s="43" t="s">
        <v>3</v>
      </c>
      <c r="E29" s="43" t="s">
        <v>67</v>
      </c>
      <c r="F29" s="87">
        <v>13000</v>
      </c>
      <c r="G29" s="45">
        <v>9</v>
      </c>
      <c r="H29" s="45">
        <v>5</v>
      </c>
      <c r="I29" s="46">
        <f t="shared" si="0"/>
        <v>38060</v>
      </c>
      <c r="J29" s="44">
        <v>7</v>
      </c>
      <c r="K29" s="45">
        <v>5</v>
      </c>
      <c r="L29" s="160">
        <v>5</v>
      </c>
      <c r="M29" s="161">
        <v>1</v>
      </c>
      <c r="N29" s="46">
        <f t="shared" si="1"/>
        <v>20.832000000000001</v>
      </c>
      <c r="O29" s="45">
        <v>7</v>
      </c>
      <c r="P29" s="45">
        <v>5</v>
      </c>
      <c r="Q29" s="160">
        <v>5</v>
      </c>
      <c r="R29" s="161">
        <v>1</v>
      </c>
      <c r="S29" s="46">
        <f t="shared" si="2"/>
        <v>20.832000000000001</v>
      </c>
      <c r="T29" s="44"/>
      <c r="U29" s="45"/>
      <c r="V29" s="160"/>
      <c r="W29" s="161"/>
      <c r="X29" s="46">
        <f t="shared" si="3"/>
        <v>0</v>
      </c>
      <c r="Y29" s="45">
        <v>7</v>
      </c>
      <c r="Z29" s="45">
        <v>7</v>
      </c>
      <c r="AA29" s="160">
        <v>2</v>
      </c>
      <c r="AB29" s="161">
        <v>1</v>
      </c>
      <c r="AC29" s="46">
        <f t="shared" si="4"/>
        <v>9.9736000000000011</v>
      </c>
      <c r="AD29" s="45"/>
      <c r="AE29" s="45"/>
      <c r="AF29" s="160"/>
      <c r="AG29" s="161"/>
      <c r="AH29" s="46">
        <f t="shared" si="5"/>
        <v>0</v>
      </c>
      <c r="AI29" s="44"/>
      <c r="AJ29" s="45"/>
      <c r="AK29" s="160"/>
      <c r="AL29" s="161"/>
      <c r="AM29" s="225">
        <f t="shared" si="6"/>
        <v>0</v>
      </c>
    </row>
    <row r="30" spans="1:39">
      <c r="A30" s="14" t="s">
        <v>0</v>
      </c>
      <c r="B30" s="15" t="s">
        <v>61</v>
      </c>
      <c r="C30" s="306"/>
      <c r="D30" s="293" t="s">
        <v>61</v>
      </c>
      <c r="E30" s="293" t="s">
        <v>67</v>
      </c>
      <c r="F30" s="88">
        <v>7000</v>
      </c>
      <c r="G30" s="42">
        <v>9</v>
      </c>
      <c r="H30" s="42">
        <v>9</v>
      </c>
      <c r="I30" s="41">
        <f t="shared" si="0"/>
        <v>35420</v>
      </c>
      <c r="J30" s="39"/>
      <c r="K30" s="40"/>
      <c r="L30" s="158"/>
      <c r="M30" s="159"/>
      <c r="N30" s="41">
        <f t="shared" si="1"/>
        <v>0</v>
      </c>
      <c r="O30" s="40"/>
      <c r="P30" s="40"/>
      <c r="Q30" s="158"/>
      <c r="R30" s="159"/>
      <c r="S30" s="41">
        <f t="shared" si="2"/>
        <v>0</v>
      </c>
      <c r="T30" s="39"/>
      <c r="U30" s="40"/>
      <c r="V30" s="158"/>
      <c r="W30" s="159"/>
      <c r="X30" s="41">
        <f t="shared" si="3"/>
        <v>0</v>
      </c>
      <c r="Y30" s="40">
        <v>6</v>
      </c>
      <c r="Z30" s="40">
        <v>6</v>
      </c>
      <c r="AA30" s="158"/>
      <c r="AB30" s="159"/>
      <c r="AC30" s="41">
        <f t="shared" si="4"/>
        <v>7.5</v>
      </c>
      <c r="AD30" s="40"/>
      <c r="AE30" s="40"/>
      <c r="AF30" s="158"/>
      <c r="AG30" s="159"/>
      <c r="AH30" s="41">
        <f t="shared" si="5"/>
        <v>0</v>
      </c>
      <c r="AI30" s="39">
        <v>7</v>
      </c>
      <c r="AJ30" s="40">
        <v>7</v>
      </c>
      <c r="AK30" s="158"/>
      <c r="AL30" s="159"/>
      <c r="AM30" s="224">
        <f t="shared" si="6"/>
        <v>9.1</v>
      </c>
    </row>
    <row r="31" spans="1:39">
      <c r="A31" s="14" t="s">
        <v>0</v>
      </c>
      <c r="B31" s="15" t="s">
        <v>61</v>
      </c>
      <c r="C31" s="306"/>
      <c r="D31" s="294"/>
      <c r="E31" s="294"/>
      <c r="F31" s="87"/>
      <c r="G31" s="47">
        <v>8</v>
      </c>
      <c r="H31" s="47">
        <v>8</v>
      </c>
      <c r="I31" s="46">
        <f t="shared" si="0"/>
        <v>23760.000000000004</v>
      </c>
      <c r="J31" s="44"/>
      <c r="K31" s="45"/>
      <c r="L31" s="160"/>
      <c r="M31" s="161"/>
      <c r="N31" s="46">
        <f t="shared" si="1"/>
        <v>0</v>
      </c>
      <c r="O31" s="45"/>
      <c r="P31" s="45"/>
      <c r="Q31" s="160"/>
      <c r="R31" s="161"/>
      <c r="S31" s="46">
        <f t="shared" si="2"/>
        <v>0</v>
      </c>
      <c r="T31" s="44"/>
      <c r="U31" s="45"/>
      <c r="V31" s="160"/>
      <c r="W31" s="161"/>
      <c r="X31" s="46">
        <f t="shared" si="3"/>
        <v>0</v>
      </c>
      <c r="Y31" s="45"/>
      <c r="Z31" s="45"/>
      <c r="AA31" s="160"/>
      <c r="AB31" s="161"/>
      <c r="AC31" s="46">
        <f t="shared" si="4"/>
        <v>0</v>
      </c>
      <c r="AD31" s="45"/>
      <c r="AE31" s="45"/>
      <c r="AF31" s="160"/>
      <c r="AG31" s="161"/>
      <c r="AH31" s="46">
        <f t="shared" si="5"/>
        <v>0</v>
      </c>
      <c r="AI31" s="44"/>
      <c r="AJ31" s="45"/>
      <c r="AK31" s="160"/>
      <c r="AL31" s="161"/>
      <c r="AM31" s="225">
        <f t="shared" si="6"/>
        <v>0</v>
      </c>
    </row>
    <row r="32" spans="1:39">
      <c r="A32" s="14" t="s">
        <v>0</v>
      </c>
      <c r="B32" s="15" t="s">
        <v>62</v>
      </c>
      <c r="C32" s="306"/>
      <c r="D32" s="300" t="s">
        <v>62</v>
      </c>
      <c r="E32" s="293" t="s">
        <v>67</v>
      </c>
      <c r="F32" s="88">
        <v>7000</v>
      </c>
      <c r="G32" s="42">
        <v>7</v>
      </c>
      <c r="H32" s="42">
        <v>7</v>
      </c>
      <c r="I32" s="41">
        <f t="shared" si="0"/>
        <v>27720.000000000004</v>
      </c>
      <c r="J32" s="39">
        <v>6</v>
      </c>
      <c r="K32" s="40">
        <v>6</v>
      </c>
      <c r="L32" s="158"/>
      <c r="M32" s="159"/>
      <c r="N32" s="41">
        <f t="shared" si="1"/>
        <v>15</v>
      </c>
      <c r="O32" s="40">
        <v>7</v>
      </c>
      <c r="P32" s="112">
        <v>7</v>
      </c>
      <c r="Q32" s="190"/>
      <c r="R32" s="191"/>
      <c r="S32" s="41">
        <f t="shared" si="2"/>
        <v>18.2</v>
      </c>
      <c r="T32" s="39"/>
      <c r="U32" s="40"/>
      <c r="V32" s="158"/>
      <c r="W32" s="159"/>
      <c r="X32" s="41">
        <f t="shared" si="3"/>
        <v>0</v>
      </c>
      <c r="Y32" s="40"/>
      <c r="Z32" s="40"/>
      <c r="AA32" s="158"/>
      <c r="AB32" s="159"/>
      <c r="AC32" s="41">
        <f t="shared" si="4"/>
        <v>0</v>
      </c>
      <c r="AD32" s="40"/>
      <c r="AE32" s="40"/>
      <c r="AF32" s="158"/>
      <c r="AG32" s="159"/>
      <c r="AH32" s="41">
        <f t="shared" si="5"/>
        <v>0</v>
      </c>
      <c r="AI32" s="39"/>
      <c r="AJ32" s="40"/>
      <c r="AK32" s="158"/>
      <c r="AL32" s="159"/>
      <c r="AM32" s="224">
        <f t="shared" si="6"/>
        <v>0</v>
      </c>
    </row>
    <row r="33" spans="1:39">
      <c r="A33" s="14" t="s">
        <v>0</v>
      </c>
      <c r="B33" s="15" t="s">
        <v>62</v>
      </c>
      <c r="C33" s="306"/>
      <c r="D33" s="294"/>
      <c r="E33" s="294"/>
      <c r="F33" s="87"/>
      <c r="G33" s="47">
        <v>7</v>
      </c>
      <c r="H33" s="47">
        <v>7</v>
      </c>
      <c r="I33" s="46">
        <f t="shared" si="0"/>
        <v>20020</v>
      </c>
      <c r="J33" s="44"/>
      <c r="K33" s="45"/>
      <c r="L33" s="160"/>
      <c r="M33" s="161"/>
      <c r="N33" s="46">
        <f t="shared" si="1"/>
        <v>0</v>
      </c>
      <c r="O33" s="45"/>
      <c r="P33" s="45"/>
      <c r="Q33" s="160"/>
      <c r="R33" s="161"/>
      <c r="S33" s="46">
        <f t="shared" si="2"/>
        <v>0</v>
      </c>
      <c r="T33" s="44"/>
      <c r="U33" s="45"/>
      <c r="V33" s="160"/>
      <c r="W33" s="161"/>
      <c r="X33" s="46">
        <f t="shared" si="3"/>
        <v>0</v>
      </c>
      <c r="Y33" s="45"/>
      <c r="Z33" s="45"/>
      <c r="AA33" s="160"/>
      <c r="AB33" s="161"/>
      <c r="AC33" s="46">
        <f t="shared" si="4"/>
        <v>0</v>
      </c>
      <c r="AD33" s="45"/>
      <c r="AE33" s="45"/>
      <c r="AF33" s="160"/>
      <c r="AG33" s="161"/>
      <c r="AH33" s="46">
        <f t="shared" si="5"/>
        <v>0</v>
      </c>
      <c r="AI33" s="44"/>
      <c r="AJ33" s="45"/>
      <c r="AK33" s="160"/>
      <c r="AL33" s="161"/>
      <c r="AM33" s="225">
        <f t="shared" si="6"/>
        <v>0</v>
      </c>
    </row>
    <row r="34" spans="1:39" ht="15.75" thickBot="1">
      <c r="A34" s="14" t="s">
        <v>0</v>
      </c>
      <c r="B34" s="15" t="s">
        <v>17</v>
      </c>
      <c r="C34" s="306"/>
      <c r="D34" s="32" t="s">
        <v>17</v>
      </c>
      <c r="E34" s="32" t="s">
        <v>67</v>
      </c>
      <c r="F34" s="88">
        <v>13000</v>
      </c>
      <c r="G34" s="40">
        <v>10</v>
      </c>
      <c r="H34" s="40">
        <v>10</v>
      </c>
      <c r="I34" s="41">
        <f t="shared" si="0"/>
        <v>46200.000000000007</v>
      </c>
      <c r="J34" s="39">
        <v>7</v>
      </c>
      <c r="K34" s="40">
        <v>7</v>
      </c>
      <c r="L34" s="158">
        <v>2</v>
      </c>
      <c r="M34" s="159">
        <v>1</v>
      </c>
      <c r="N34" s="41">
        <f t="shared" si="1"/>
        <v>19.947200000000002</v>
      </c>
      <c r="O34" s="40">
        <v>7</v>
      </c>
      <c r="P34" s="40">
        <v>7</v>
      </c>
      <c r="Q34" s="158">
        <v>4</v>
      </c>
      <c r="R34" s="159">
        <v>1</v>
      </c>
      <c r="S34" s="41">
        <f t="shared" si="2"/>
        <v>21.694399999999998</v>
      </c>
      <c r="T34" s="39">
        <v>7</v>
      </c>
      <c r="U34" s="40">
        <v>7</v>
      </c>
      <c r="V34" s="158">
        <v>2</v>
      </c>
      <c r="W34" s="159">
        <v>1</v>
      </c>
      <c r="X34" s="41">
        <f t="shared" si="3"/>
        <v>9.9736000000000011</v>
      </c>
      <c r="Y34" s="40"/>
      <c r="Z34" s="40"/>
      <c r="AA34" s="158"/>
      <c r="AB34" s="159"/>
      <c r="AC34" s="41">
        <f t="shared" si="4"/>
        <v>0</v>
      </c>
      <c r="AD34" s="40"/>
      <c r="AE34" s="40"/>
      <c r="AF34" s="158"/>
      <c r="AG34" s="159"/>
      <c r="AH34" s="41">
        <f t="shared" si="5"/>
        <v>0</v>
      </c>
      <c r="AI34" s="39"/>
      <c r="AJ34" s="40"/>
      <c r="AK34" s="158"/>
      <c r="AL34" s="159"/>
      <c r="AM34" s="224">
        <f t="shared" si="6"/>
        <v>0</v>
      </c>
    </row>
    <row r="35" spans="1:39">
      <c r="A35" s="18" t="s">
        <v>46</v>
      </c>
      <c r="B35" s="19" t="s">
        <v>47</v>
      </c>
      <c r="C35" s="298" t="s">
        <v>46</v>
      </c>
      <c r="D35" s="34" t="s">
        <v>47</v>
      </c>
      <c r="E35" s="34" t="s">
        <v>67</v>
      </c>
      <c r="F35" s="89">
        <v>2000</v>
      </c>
      <c r="G35" s="36">
        <v>5</v>
      </c>
      <c r="H35" s="36">
        <v>5</v>
      </c>
      <c r="I35" s="37">
        <f t="shared" si="0"/>
        <v>15400.000000000002</v>
      </c>
      <c r="J35" s="35"/>
      <c r="K35" s="36"/>
      <c r="L35" s="154"/>
      <c r="M35" s="155"/>
      <c r="N35" s="37">
        <f t="shared" si="1"/>
        <v>0</v>
      </c>
      <c r="O35" s="36"/>
      <c r="P35" s="36"/>
      <c r="Q35" s="154"/>
      <c r="R35" s="155"/>
      <c r="S35" s="37">
        <f t="shared" si="2"/>
        <v>0</v>
      </c>
      <c r="T35" s="35"/>
      <c r="U35" s="36"/>
      <c r="V35" s="154"/>
      <c r="W35" s="155"/>
      <c r="X35" s="37">
        <f t="shared" si="3"/>
        <v>0</v>
      </c>
      <c r="Y35" s="36"/>
      <c r="Z35" s="36"/>
      <c r="AA35" s="154"/>
      <c r="AB35" s="155"/>
      <c r="AC35" s="37">
        <f t="shared" si="4"/>
        <v>0</v>
      </c>
      <c r="AD35" s="36"/>
      <c r="AE35" s="36"/>
      <c r="AF35" s="154"/>
      <c r="AG35" s="155"/>
      <c r="AH35" s="37">
        <f t="shared" si="5"/>
        <v>0</v>
      </c>
      <c r="AI35" s="35">
        <v>6</v>
      </c>
      <c r="AJ35" s="36">
        <v>6</v>
      </c>
      <c r="AK35" s="154"/>
      <c r="AL35" s="155"/>
      <c r="AM35" s="223">
        <f t="shared" si="6"/>
        <v>7.5</v>
      </c>
    </row>
    <row r="36" spans="1:39" ht="15.75" thickBot="1">
      <c r="A36" s="20" t="s">
        <v>46</v>
      </c>
      <c r="B36" s="21" t="s">
        <v>50</v>
      </c>
      <c r="C36" s="299"/>
      <c r="D36" s="48" t="s">
        <v>50</v>
      </c>
      <c r="E36" s="48" t="s">
        <v>67</v>
      </c>
      <c r="F36" s="90">
        <v>2000</v>
      </c>
      <c r="G36" s="50">
        <v>10</v>
      </c>
      <c r="H36" s="50">
        <v>1</v>
      </c>
      <c r="I36" s="51">
        <f t="shared" si="0"/>
        <v>24200.000000000004</v>
      </c>
      <c r="J36" s="49"/>
      <c r="K36" s="50"/>
      <c r="L36" s="170"/>
      <c r="M36" s="171"/>
      <c r="N36" s="51">
        <f t="shared" si="1"/>
        <v>0</v>
      </c>
      <c r="O36" s="50"/>
      <c r="P36" s="50"/>
      <c r="Q36" s="170"/>
      <c r="R36" s="171"/>
      <c r="S36" s="51">
        <f t="shared" si="2"/>
        <v>0</v>
      </c>
      <c r="T36" s="49"/>
      <c r="U36" s="50"/>
      <c r="V36" s="170"/>
      <c r="W36" s="171"/>
      <c r="X36" s="51">
        <f t="shared" si="3"/>
        <v>0</v>
      </c>
      <c r="Y36" s="50"/>
      <c r="Z36" s="50"/>
      <c r="AA36" s="170"/>
      <c r="AB36" s="171"/>
      <c r="AC36" s="51">
        <f t="shared" si="4"/>
        <v>0</v>
      </c>
      <c r="AD36" s="50"/>
      <c r="AE36" s="50"/>
      <c r="AF36" s="170"/>
      <c r="AG36" s="171"/>
      <c r="AH36" s="51">
        <f t="shared" si="5"/>
        <v>0</v>
      </c>
      <c r="AI36" s="49"/>
      <c r="AJ36" s="50"/>
      <c r="AK36" s="170"/>
      <c r="AL36" s="171"/>
      <c r="AM36" s="229">
        <f t="shared" si="6"/>
        <v>0</v>
      </c>
    </row>
    <row r="37" spans="1:39">
      <c r="A37" s="12" t="s">
        <v>38</v>
      </c>
      <c r="B37" s="13" t="s">
        <v>39</v>
      </c>
      <c r="C37" s="306" t="s">
        <v>38</v>
      </c>
      <c r="D37" s="43" t="s">
        <v>39</v>
      </c>
      <c r="E37" s="43" t="s">
        <v>67</v>
      </c>
      <c r="F37" s="87">
        <v>13000</v>
      </c>
      <c r="G37" s="45">
        <v>10</v>
      </c>
      <c r="H37" s="47">
        <v>2</v>
      </c>
      <c r="I37" s="46">
        <f t="shared" si="0"/>
        <v>37400</v>
      </c>
      <c r="J37" s="44">
        <v>9</v>
      </c>
      <c r="K37" s="45">
        <v>2</v>
      </c>
      <c r="L37" s="160"/>
      <c r="M37" s="161"/>
      <c r="N37" s="46">
        <f t="shared" si="1"/>
        <v>18.900000000000002</v>
      </c>
      <c r="O37" s="45">
        <v>9</v>
      </c>
      <c r="P37" s="45">
        <v>2</v>
      </c>
      <c r="Q37" s="160"/>
      <c r="R37" s="161"/>
      <c r="S37" s="46">
        <f t="shared" si="2"/>
        <v>18.900000000000002</v>
      </c>
      <c r="T37" s="44"/>
      <c r="U37" s="45"/>
      <c r="V37" s="160"/>
      <c r="W37" s="161"/>
      <c r="X37" s="46">
        <f t="shared" si="3"/>
        <v>0</v>
      </c>
      <c r="Y37" s="45">
        <v>9</v>
      </c>
      <c r="Z37" s="45">
        <v>2</v>
      </c>
      <c r="AA37" s="160"/>
      <c r="AB37" s="161"/>
      <c r="AC37" s="46">
        <f t="shared" si="4"/>
        <v>9.4500000000000011</v>
      </c>
      <c r="AD37" s="45"/>
      <c r="AE37" s="45"/>
      <c r="AF37" s="160"/>
      <c r="AG37" s="161"/>
      <c r="AH37" s="46">
        <f t="shared" si="5"/>
        <v>0</v>
      </c>
      <c r="AI37" s="44"/>
      <c r="AJ37" s="45"/>
      <c r="AK37" s="160"/>
      <c r="AL37" s="161"/>
      <c r="AM37" s="225">
        <f t="shared" si="6"/>
        <v>0</v>
      </c>
    </row>
    <row r="38" spans="1:39">
      <c r="A38" s="14" t="s">
        <v>38</v>
      </c>
      <c r="B38" s="15" t="s">
        <v>71</v>
      </c>
      <c r="C38" s="306"/>
      <c r="D38" s="91" t="s">
        <v>71</v>
      </c>
      <c r="E38" s="91" t="s">
        <v>68</v>
      </c>
      <c r="F38" s="92">
        <v>7000</v>
      </c>
      <c r="G38" s="78">
        <v>9</v>
      </c>
      <c r="H38" s="76">
        <v>3</v>
      </c>
      <c r="I38" s="77">
        <f t="shared" si="0"/>
        <v>29480.000000000004</v>
      </c>
      <c r="J38" s="74">
        <v>10</v>
      </c>
      <c r="K38" s="78">
        <v>2</v>
      </c>
      <c r="L38" s="178"/>
      <c r="M38" s="179"/>
      <c r="N38" s="77">
        <f t="shared" si="1"/>
        <v>21</v>
      </c>
      <c r="O38" s="78">
        <v>5</v>
      </c>
      <c r="P38" s="78">
        <v>3</v>
      </c>
      <c r="Q38" s="178"/>
      <c r="R38" s="179"/>
      <c r="S38" s="77">
        <f t="shared" si="2"/>
        <v>11</v>
      </c>
      <c r="T38" s="74">
        <v>5</v>
      </c>
      <c r="U38" s="78">
        <v>3</v>
      </c>
      <c r="V38" s="178"/>
      <c r="W38" s="179"/>
      <c r="X38" s="77">
        <f t="shared" si="3"/>
        <v>5.5</v>
      </c>
      <c r="Y38" s="78"/>
      <c r="Z38" s="78"/>
      <c r="AA38" s="178"/>
      <c r="AB38" s="179"/>
      <c r="AC38" s="77">
        <f t="shared" si="4"/>
        <v>0</v>
      </c>
      <c r="AD38" s="78"/>
      <c r="AE38" s="78"/>
      <c r="AF38" s="178"/>
      <c r="AG38" s="179"/>
      <c r="AH38" s="77">
        <f t="shared" si="5"/>
        <v>0</v>
      </c>
      <c r="AI38" s="74"/>
      <c r="AJ38" s="78"/>
      <c r="AK38" s="178"/>
      <c r="AL38" s="179"/>
      <c r="AM38" s="231">
        <f t="shared" si="6"/>
        <v>0</v>
      </c>
    </row>
    <row r="39" spans="1:39">
      <c r="A39" s="14" t="s">
        <v>38</v>
      </c>
      <c r="B39" s="15" t="s">
        <v>51</v>
      </c>
      <c r="C39" s="306"/>
      <c r="D39" s="32" t="s">
        <v>51</v>
      </c>
      <c r="E39" s="32" t="s">
        <v>67</v>
      </c>
      <c r="F39" s="92">
        <v>4000</v>
      </c>
      <c r="G39" s="78">
        <v>5</v>
      </c>
      <c r="H39" s="76">
        <v>1</v>
      </c>
      <c r="I39" s="77">
        <f t="shared" si="0"/>
        <v>15400.000000000002</v>
      </c>
      <c r="J39" s="74">
        <v>8</v>
      </c>
      <c r="K39" s="76">
        <v>3</v>
      </c>
      <c r="L39" s="186"/>
      <c r="M39" s="187"/>
      <c r="N39" s="77">
        <f t="shared" si="1"/>
        <v>17.600000000000001</v>
      </c>
      <c r="O39" s="78">
        <v>5</v>
      </c>
      <c r="P39" s="76">
        <v>3</v>
      </c>
      <c r="Q39" s="186"/>
      <c r="R39" s="187"/>
      <c r="S39" s="77">
        <f t="shared" si="2"/>
        <v>11</v>
      </c>
      <c r="T39" s="74"/>
      <c r="U39" s="78"/>
      <c r="V39" s="178"/>
      <c r="W39" s="179"/>
      <c r="X39" s="77">
        <f t="shared" si="3"/>
        <v>0</v>
      </c>
      <c r="Y39" s="78">
        <v>3</v>
      </c>
      <c r="Z39" s="78">
        <v>3</v>
      </c>
      <c r="AA39" s="178"/>
      <c r="AB39" s="179"/>
      <c r="AC39" s="77">
        <f t="shared" si="4"/>
        <v>3.3000000000000003</v>
      </c>
      <c r="AD39" s="78"/>
      <c r="AE39" s="78"/>
      <c r="AF39" s="178"/>
      <c r="AG39" s="179"/>
      <c r="AH39" s="77">
        <f t="shared" si="5"/>
        <v>0</v>
      </c>
      <c r="AI39" s="74"/>
      <c r="AJ39" s="78"/>
      <c r="AK39" s="178"/>
      <c r="AL39" s="179"/>
      <c r="AM39" s="231">
        <f t="shared" si="6"/>
        <v>0</v>
      </c>
    </row>
    <row r="40" spans="1:39" ht="15.75" thickBot="1">
      <c r="A40" s="16" t="s">
        <v>38</v>
      </c>
      <c r="B40" s="17" t="s">
        <v>40</v>
      </c>
      <c r="C40" s="306"/>
      <c r="D40" s="32" t="s">
        <v>40</v>
      </c>
      <c r="E40" s="32" t="s">
        <v>67</v>
      </c>
      <c r="F40" s="88">
        <v>4000</v>
      </c>
      <c r="G40" s="40">
        <v>8</v>
      </c>
      <c r="H40" s="40">
        <v>2</v>
      </c>
      <c r="I40" s="41">
        <f t="shared" si="0"/>
        <v>22880.000000000004</v>
      </c>
      <c r="J40" s="39"/>
      <c r="K40" s="40"/>
      <c r="L40" s="158"/>
      <c r="M40" s="159"/>
      <c r="N40" s="41">
        <f t="shared" si="1"/>
        <v>0</v>
      </c>
      <c r="O40" s="40">
        <v>5</v>
      </c>
      <c r="P40" s="40">
        <v>4</v>
      </c>
      <c r="Q40" s="158"/>
      <c r="R40" s="159"/>
      <c r="S40" s="41">
        <f t="shared" si="2"/>
        <v>11.5</v>
      </c>
      <c r="T40" s="39"/>
      <c r="U40" s="40"/>
      <c r="V40" s="158"/>
      <c r="W40" s="159"/>
      <c r="X40" s="41">
        <f t="shared" si="3"/>
        <v>0</v>
      </c>
      <c r="Y40" s="40">
        <v>7</v>
      </c>
      <c r="Z40" s="42">
        <v>5</v>
      </c>
      <c r="AA40" s="182"/>
      <c r="AB40" s="183"/>
      <c r="AC40" s="41">
        <f t="shared" si="4"/>
        <v>8.4</v>
      </c>
      <c r="AD40" s="40"/>
      <c r="AE40" s="40"/>
      <c r="AF40" s="158"/>
      <c r="AG40" s="159"/>
      <c r="AH40" s="41">
        <f t="shared" si="5"/>
        <v>0</v>
      </c>
      <c r="AI40" s="39">
        <v>5</v>
      </c>
      <c r="AJ40" s="40">
        <v>3</v>
      </c>
      <c r="AK40" s="158"/>
      <c r="AL40" s="159"/>
      <c r="AM40" s="224">
        <f t="shared" si="6"/>
        <v>5.5</v>
      </c>
    </row>
    <row r="41" spans="1:39">
      <c r="A41" s="12" t="s">
        <v>20</v>
      </c>
      <c r="B41" s="15" t="s">
        <v>21</v>
      </c>
      <c r="C41" s="298" t="s">
        <v>20</v>
      </c>
      <c r="D41" s="34" t="s">
        <v>21</v>
      </c>
      <c r="E41" s="34" t="s">
        <v>69</v>
      </c>
      <c r="F41" s="89">
        <v>2000</v>
      </c>
      <c r="G41" s="36"/>
      <c r="H41" s="36"/>
      <c r="I41" s="37">
        <f t="shared" si="0"/>
        <v>2200</v>
      </c>
      <c r="J41" s="35">
        <v>4</v>
      </c>
      <c r="K41" s="36">
        <v>4</v>
      </c>
      <c r="L41" s="154"/>
      <c r="M41" s="155"/>
      <c r="N41" s="37">
        <f t="shared" si="1"/>
        <v>9.1999999999999993</v>
      </c>
      <c r="O41" s="36"/>
      <c r="P41" s="36"/>
      <c r="Q41" s="154"/>
      <c r="R41" s="155"/>
      <c r="S41" s="37">
        <f t="shared" si="2"/>
        <v>0</v>
      </c>
      <c r="T41" s="35"/>
      <c r="U41" s="36"/>
      <c r="V41" s="154"/>
      <c r="W41" s="155"/>
      <c r="X41" s="37">
        <f t="shared" si="3"/>
        <v>0</v>
      </c>
      <c r="Y41" s="36">
        <v>5</v>
      </c>
      <c r="Z41" s="36">
        <v>5</v>
      </c>
      <c r="AA41" s="154"/>
      <c r="AB41" s="155"/>
      <c r="AC41" s="37">
        <f t="shared" si="4"/>
        <v>6</v>
      </c>
      <c r="AD41" s="36">
        <v>4</v>
      </c>
      <c r="AE41" s="36">
        <v>4</v>
      </c>
      <c r="AF41" s="154"/>
      <c r="AG41" s="155"/>
      <c r="AH41" s="37">
        <f t="shared" si="5"/>
        <v>4.5999999999999996</v>
      </c>
      <c r="AI41" s="35">
        <v>4</v>
      </c>
      <c r="AJ41" s="36">
        <v>4</v>
      </c>
      <c r="AK41" s="154"/>
      <c r="AL41" s="155"/>
      <c r="AM41" s="223">
        <f t="shared" si="6"/>
        <v>4.5999999999999996</v>
      </c>
    </row>
    <row r="42" spans="1:39" ht="15.75" thickBot="1">
      <c r="A42" s="16" t="s">
        <v>20</v>
      </c>
      <c r="B42" s="15" t="s">
        <v>22</v>
      </c>
      <c r="C42" s="299"/>
      <c r="D42" s="48" t="s">
        <v>22</v>
      </c>
      <c r="E42" s="48" t="s">
        <v>69</v>
      </c>
      <c r="F42" s="90">
        <v>7000</v>
      </c>
      <c r="G42" s="50">
        <v>10</v>
      </c>
      <c r="H42" s="53">
        <v>1</v>
      </c>
      <c r="I42" s="51">
        <f t="shared" si="0"/>
        <v>29700.000000000004</v>
      </c>
      <c r="J42" s="49">
        <v>6</v>
      </c>
      <c r="K42" s="50">
        <v>6</v>
      </c>
      <c r="L42" s="170"/>
      <c r="M42" s="171"/>
      <c r="N42" s="51">
        <f t="shared" si="1"/>
        <v>15</v>
      </c>
      <c r="O42" s="50">
        <v>7</v>
      </c>
      <c r="P42" s="50">
        <v>7</v>
      </c>
      <c r="Q42" s="170"/>
      <c r="R42" s="171"/>
      <c r="S42" s="51">
        <f t="shared" si="2"/>
        <v>18.2</v>
      </c>
      <c r="T42" s="49"/>
      <c r="U42" s="50"/>
      <c r="V42" s="170"/>
      <c r="W42" s="171"/>
      <c r="X42" s="51">
        <f t="shared" si="3"/>
        <v>0</v>
      </c>
      <c r="Y42" s="50"/>
      <c r="Z42" s="50"/>
      <c r="AA42" s="170"/>
      <c r="AB42" s="171"/>
      <c r="AC42" s="51">
        <f t="shared" si="4"/>
        <v>0</v>
      </c>
      <c r="AD42" s="50"/>
      <c r="AE42" s="50"/>
      <c r="AF42" s="170"/>
      <c r="AG42" s="171"/>
      <c r="AH42" s="51">
        <f t="shared" si="5"/>
        <v>0</v>
      </c>
      <c r="AI42" s="49">
        <v>6</v>
      </c>
      <c r="AJ42" s="50">
        <v>6</v>
      </c>
      <c r="AK42" s="170"/>
      <c r="AL42" s="171"/>
      <c r="AM42" s="229">
        <f t="shared" si="6"/>
        <v>7.5</v>
      </c>
    </row>
    <row r="43" spans="1:39">
      <c r="A43" s="12" t="s">
        <v>2</v>
      </c>
      <c r="B43" s="13" t="s">
        <v>15</v>
      </c>
      <c r="C43" s="306" t="s">
        <v>2</v>
      </c>
      <c r="D43" s="43" t="s">
        <v>15</v>
      </c>
      <c r="E43" s="43" t="s">
        <v>68</v>
      </c>
      <c r="F43" s="87">
        <v>7000</v>
      </c>
      <c r="G43" s="45">
        <v>8</v>
      </c>
      <c r="H43" s="45">
        <v>8</v>
      </c>
      <c r="I43" s="46">
        <f t="shared" si="0"/>
        <v>31460.000000000004</v>
      </c>
      <c r="J43" s="44">
        <v>10</v>
      </c>
      <c r="K43" s="45">
        <v>1</v>
      </c>
      <c r="L43" s="160"/>
      <c r="M43" s="161"/>
      <c r="N43" s="46">
        <f t="shared" si="1"/>
        <v>20</v>
      </c>
      <c r="O43" s="45"/>
      <c r="P43" s="45"/>
      <c r="Q43" s="160"/>
      <c r="R43" s="161"/>
      <c r="S43" s="46">
        <f t="shared" si="2"/>
        <v>0</v>
      </c>
      <c r="T43" s="44">
        <v>10</v>
      </c>
      <c r="U43" s="45">
        <v>1</v>
      </c>
      <c r="V43" s="160"/>
      <c r="W43" s="161"/>
      <c r="X43" s="46">
        <f t="shared" si="3"/>
        <v>10</v>
      </c>
      <c r="Y43" s="45"/>
      <c r="Z43" s="45"/>
      <c r="AA43" s="160"/>
      <c r="AB43" s="161"/>
      <c r="AC43" s="46">
        <f t="shared" si="4"/>
        <v>0</v>
      </c>
      <c r="AD43" s="45">
        <v>7</v>
      </c>
      <c r="AE43" s="45">
        <v>7</v>
      </c>
      <c r="AF43" s="160"/>
      <c r="AG43" s="161"/>
      <c r="AH43" s="46">
        <f t="shared" si="5"/>
        <v>9.1</v>
      </c>
      <c r="AI43" s="44"/>
      <c r="AJ43" s="45"/>
      <c r="AK43" s="160"/>
      <c r="AL43" s="161"/>
      <c r="AM43" s="225">
        <f t="shared" si="6"/>
        <v>0</v>
      </c>
    </row>
    <row r="44" spans="1:39">
      <c r="A44" s="14" t="s">
        <v>2</v>
      </c>
      <c r="B44" s="15" t="s">
        <v>64</v>
      </c>
      <c r="C44" s="306"/>
      <c r="D44" s="293" t="s">
        <v>64</v>
      </c>
      <c r="E44" s="293" t="s">
        <v>68</v>
      </c>
      <c r="F44" s="93">
        <v>2000</v>
      </c>
      <c r="G44" s="94">
        <v>7</v>
      </c>
      <c r="H44" s="40">
        <v>7</v>
      </c>
      <c r="I44" s="41">
        <f t="shared" si="0"/>
        <v>22220</v>
      </c>
      <c r="J44" s="39"/>
      <c r="K44" s="40"/>
      <c r="L44" s="158"/>
      <c r="M44" s="159"/>
      <c r="N44" s="41">
        <f t="shared" si="1"/>
        <v>0</v>
      </c>
      <c r="O44" s="40">
        <v>7</v>
      </c>
      <c r="P44" s="40">
        <v>7</v>
      </c>
      <c r="Q44" s="158"/>
      <c r="R44" s="159"/>
      <c r="S44" s="41">
        <f t="shared" si="2"/>
        <v>18.2</v>
      </c>
      <c r="T44" s="39"/>
      <c r="U44" s="40"/>
      <c r="V44" s="158"/>
      <c r="W44" s="159"/>
      <c r="X44" s="41">
        <f t="shared" si="3"/>
        <v>0</v>
      </c>
      <c r="Y44" s="40">
        <v>7</v>
      </c>
      <c r="Z44" s="40">
        <v>7</v>
      </c>
      <c r="AA44" s="158"/>
      <c r="AB44" s="159"/>
      <c r="AC44" s="41">
        <f t="shared" si="4"/>
        <v>9.1</v>
      </c>
      <c r="AD44" s="40"/>
      <c r="AE44" s="40"/>
      <c r="AF44" s="158"/>
      <c r="AG44" s="159"/>
      <c r="AH44" s="41">
        <f t="shared" si="5"/>
        <v>0</v>
      </c>
      <c r="AI44" s="39"/>
      <c r="AJ44" s="40"/>
      <c r="AK44" s="158"/>
      <c r="AL44" s="159"/>
      <c r="AM44" s="224">
        <f t="shared" si="6"/>
        <v>0</v>
      </c>
    </row>
    <row r="45" spans="1:39">
      <c r="A45" s="14" t="s">
        <v>2</v>
      </c>
      <c r="B45" s="15" t="s">
        <v>64</v>
      </c>
      <c r="C45" s="306"/>
      <c r="D45" s="294"/>
      <c r="E45" s="294"/>
      <c r="F45" s="93"/>
      <c r="G45" s="94"/>
      <c r="H45" s="45"/>
      <c r="I45" s="46">
        <f t="shared" si="0"/>
        <v>0</v>
      </c>
      <c r="J45" s="44"/>
      <c r="K45" s="45"/>
      <c r="L45" s="160"/>
      <c r="M45" s="161"/>
      <c r="N45" s="46">
        <f t="shared" si="1"/>
        <v>0</v>
      </c>
      <c r="O45" s="45"/>
      <c r="P45" s="45"/>
      <c r="Q45" s="160"/>
      <c r="R45" s="161"/>
      <c r="S45" s="46">
        <f t="shared" si="2"/>
        <v>0</v>
      </c>
      <c r="T45" s="44"/>
      <c r="U45" s="45"/>
      <c r="V45" s="160"/>
      <c r="W45" s="161"/>
      <c r="X45" s="46">
        <f t="shared" si="3"/>
        <v>0</v>
      </c>
      <c r="Y45" s="45">
        <v>7</v>
      </c>
      <c r="Z45" s="45">
        <v>7</v>
      </c>
      <c r="AA45" s="160"/>
      <c r="AB45" s="161"/>
      <c r="AC45" s="46">
        <f t="shared" si="4"/>
        <v>9.1</v>
      </c>
      <c r="AD45" s="45"/>
      <c r="AE45" s="45"/>
      <c r="AF45" s="160"/>
      <c r="AG45" s="161"/>
      <c r="AH45" s="46">
        <f t="shared" si="5"/>
        <v>0</v>
      </c>
      <c r="AI45" s="44"/>
      <c r="AJ45" s="45"/>
      <c r="AK45" s="160"/>
      <c r="AL45" s="161"/>
      <c r="AM45" s="225">
        <f t="shared" si="6"/>
        <v>0</v>
      </c>
    </row>
    <row r="46" spans="1:39" ht="15.75" thickBot="1">
      <c r="A46" s="16" t="s">
        <v>2</v>
      </c>
      <c r="B46" s="17" t="s">
        <v>16</v>
      </c>
      <c r="C46" s="306"/>
      <c r="D46" s="32" t="s">
        <v>16</v>
      </c>
      <c r="E46" s="32" t="s">
        <v>68</v>
      </c>
      <c r="F46" s="88">
        <v>7000</v>
      </c>
      <c r="G46" s="40">
        <v>10</v>
      </c>
      <c r="H46" s="40">
        <v>1</v>
      </c>
      <c r="I46" s="41">
        <f t="shared" si="0"/>
        <v>29700.000000000004</v>
      </c>
      <c r="J46" s="39">
        <v>9</v>
      </c>
      <c r="K46" s="40">
        <v>1</v>
      </c>
      <c r="L46" s="158"/>
      <c r="M46" s="159"/>
      <c r="N46" s="41">
        <f t="shared" si="1"/>
        <v>18</v>
      </c>
      <c r="O46" s="40">
        <v>7</v>
      </c>
      <c r="P46" s="40">
        <v>7</v>
      </c>
      <c r="Q46" s="158"/>
      <c r="R46" s="159"/>
      <c r="S46" s="41">
        <f t="shared" si="2"/>
        <v>18.2</v>
      </c>
      <c r="T46" s="39">
        <v>9</v>
      </c>
      <c r="U46" s="40">
        <v>9</v>
      </c>
      <c r="V46" s="158"/>
      <c r="W46" s="159"/>
      <c r="X46" s="41">
        <f t="shared" si="3"/>
        <v>12.6</v>
      </c>
      <c r="Y46" s="40"/>
      <c r="Z46" s="40"/>
      <c r="AA46" s="158"/>
      <c r="AB46" s="159"/>
      <c r="AC46" s="41">
        <f t="shared" si="4"/>
        <v>0</v>
      </c>
      <c r="AD46" s="40"/>
      <c r="AE46" s="40"/>
      <c r="AF46" s="158"/>
      <c r="AG46" s="159"/>
      <c r="AH46" s="41">
        <f t="shared" si="5"/>
        <v>0</v>
      </c>
      <c r="AI46" s="39"/>
      <c r="AJ46" s="40"/>
      <c r="AK46" s="158"/>
      <c r="AL46" s="159"/>
      <c r="AM46" s="224">
        <f t="shared" si="6"/>
        <v>0</v>
      </c>
    </row>
    <row r="47" spans="1:39">
      <c r="A47" s="12" t="s">
        <v>1</v>
      </c>
      <c r="B47" s="13" t="s">
        <v>12</v>
      </c>
      <c r="C47" s="298" t="s">
        <v>1</v>
      </c>
      <c r="D47" s="34" t="s">
        <v>12</v>
      </c>
      <c r="E47" s="34" t="s">
        <v>69</v>
      </c>
      <c r="F47" s="89">
        <v>7000</v>
      </c>
      <c r="G47" s="36">
        <v>10</v>
      </c>
      <c r="H47" s="36">
        <v>5</v>
      </c>
      <c r="I47" s="37">
        <f t="shared" si="0"/>
        <v>34100</v>
      </c>
      <c r="J47" s="35">
        <v>8</v>
      </c>
      <c r="K47" s="36">
        <v>4</v>
      </c>
      <c r="L47" s="154">
        <v>1</v>
      </c>
      <c r="M47" s="155">
        <v>1</v>
      </c>
      <c r="N47" s="37">
        <f t="shared" si="1"/>
        <v>19.283200000000001</v>
      </c>
      <c r="O47" s="36">
        <v>9</v>
      </c>
      <c r="P47" s="36">
        <v>4</v>
      </c>
      <c r="Q47" s="154">
        <v>3</v>
      </c>
      <c r="R47" s="155">
        <v>1</v>
      </c>
      <c r="S47" s="37">
        <f t="shared" si="2"/>
        <v>23.680799999999998</v>
      </c>
      <c r="T47" s="35"/>
      <c r="U47" s="36"/>
      <c r="V47" s="154"/>
      <c r="W47" s="155"/>
      <c r="X47" s="37">
        <f t="shared" si="3"/>
        <v>0</v>
      </c>
      <c r="Y47" s="36"/>
      <c r="Z47" s="36"/>
      <c r="AA47" s="154"/>
      <c r="AB47" s="155"/>
      <c r="AC47" s="37">
        <f t="shared" si="4"/>
        <v>0</v>
      </c>
      <c r="AD47" s="36"/>
      <c r="AE47" s="36"/>
      <c r="AF47" s="154"/>
      <c r="AG47" s="155"/>
      <c r="AH47" s="37">
        <f t="shared" si="5"/>
        <v>0</v>
      </c>
      <c r="AI47" s="35">
        <v>7</v>
      </c>
      <c r="AJ47" s="36">
        <v>7</v>
      </c>
      <c r="AK47" s="154">
        <v>3</v>
      </c>
      <c r="AL47" s="155">
        <v>1</v>
      </c>
      <c r="AM47" s="223">
        <f t="shared" si="6"/>
        <v>10.410399999999999</v>
      </c>
    </row>
    <row r="48" spans="1:39">
      <c r="A48" s="14" t="s">
        <v>1</v>
      </c>
      <c r="B48" s="15" t="s">
        <v>65</v>
      </c>
      <c r="C48" s="306"/>
      <c r="D48" s="293" t="s">
        <v>65</v>
      </c>
      <c r="E48" s="293" t="s">
        <v>69</v>
      </c>
      <c r="F48" s="93">
        <v>7000</v>
      </c>
      <c r="G48" s="94">
        <v>9</v>
      </c>
      <c r="H48" s="94">
        <v>9</v>
      </c>
      <c r="I48" s="96">
        <f t="shared" si="0"/>
        <v>35420</v>
      </c>
      <c r="J48" s="95">
        <v>6</v>
      </c>
      <c r="K48" s="94">
        <v>6</v>
      </c>
      <c r="L48" s="156"/>
      <c r="M48" s="157"/>
      <c r="N48" s="96">
        <f t="shared" si="1"/>
        <v>15</v>
      </c>
      <c r="O48" s="94"/>
      <c r="P48" s="94"/>
      <c r="Q48" s="156"/>
      <c r="R48" s="157"/>
      <c r="S48" s="96">
        <f t="shared" si="2"/>
        <v>0</v>
      </c>
      <c r="T48" s="95"/>
      <c r="U48" s="94"/>
      <c r="V48" s="156"/>
      <c r="W48" s="157"/>
      <c r="X48" s="96">
        <f t="shared" si="3"/>
        <v>0</v>
      </c>
      <c r="Y48" s="94"/>
      <c r="Z48" s="94"/>
      <c r="AA48" s="156"/>
      <c r="AB48" s="157"/>
      <c r="AC48" s="96">
        <f t="shared" si="4"/>
        <v>0</v>
      </c>
      <c r="AD48" s="94">
        <v>7</v>
      </c>
      <c r="AE48" s="94">
        <v>7</v>
      </c>
      <c r="AF48" s="156"/>
      <c r="AG48" s="157"/>
      <c r="AH48" s="96">
        <f t="shared" si="5"/>
        <v>9.1</v>
      </c>
      <c r="AI48" s="95"/>
      <c r="AJ48" s="94"/>
      <c r="AK48" s="156"/>
      <c r="AL48" s="157"/>
      <c r="AM48" s="228">
        <f t="shared" si="6"/>
        <v>0</v>
      </c>
    </row>
    <row r="49" spans="1:39">
      <c r="A49" s="14" t="s">
        <v>1</v>
      </c>
      <c r="B49" s="15" t="s">
        <v>65</v>
      </c>
      <c r="C49" s="306"/>
      <c r="D49" s="294"/>
      <c r="E49" s="294"/>
      <c r="F49" s="93"/>
      <c r="G49" s="94">
        <v>8</v>
      </c>
      <c r="H49" s="94">
        <v>8</v>
      </c>
      <c r="I49" s="96">
        <f t="shared" si="0"/>
        <v>23760.000000000004</v>
      </c>
      <c r="J49" s="95"/>
      <c r="K49" s="94"/>
      <c r="L49" s="156"/>
      <c r="M49" s="157"/>
      <c r="N49" s="96">
        <f t="shared" si="1"/>
        <v>0</v>
      </c>
      <c r="O49" s="94"/>
      <c r="P49" s="94"/>
      <c r="Q49" s="156"/>
      <c r="R49" s="157"/>
      <c r="S49" s="96">
        <f t="shared" si="2"/>
        <v>0</v>
      </c>
      <c r="T49" s="95"/>
      <c r="U49" s="94"/>
      <c r="V49" s="156"/>
      <c r="W49" s="157"/>
      <c r="X49" s="96">
        <f t="shared" si="3"/>
        <v>0</v>
      </c>
      <c r="Y49" s="94"/>
      <c r="Z49" s="94"/>
      <c r="AA49" s="156"/>
      <c r="AB49" s="157"/>
      <c r="AC49" s="96">
        <f t="shared" si="4"/>
        <v>0</v>
      </c>
      <c r="AD49" s="94"/>
      <c r="AE49" s="94"/>
      <c r="AF49" s="156"/>
      <c r="AG49" s="157"/>
      <c r="AH49" s="96">
        <f t="shared" si="5"/>
        <v>0</v>
      </c>
      <c r="AI49" s="95"/>
      <c r="AJ49" s="94"/>
      <c r="AK49" s="156"/>
      <c r="AL49" s="157"/>
      <c r="AM49" s="228">
        <f t="shared" si="6"/>
        <v>0</v>
      </c>
    </row>
    <row r="50" spans="1:39">
      <c r="A50" s="14" t="s">
        <v>1</v>
      </c>
      <c r="B50" s="15" t="s">
        <v>43</v>
      </c>
      <c r="C50" s="306"/>
      <c r="D50" s="293" t="s">
        <v>43</v>
      </c>
      <c r="E50" s="293" t="s">
        <v>69</v>
      </c>
      <c r="F50" s="88">
        <v>7000</v>
      </c>
      <c r="G50" s="40">
        <v>9</v>
      </c>
      <c r="H50" s="40">
        <v>9</v>
      </c>
      <c r="I50" s="41">
        <f t="shared" si="0"/>
        <v>35420</v>
      </c>
      <c r="J50" s="39">
        <v>6</v>
      </c>
      <c r="K50" s="40">
        <v>6</v>
      </c>
      <c r="L50" s="158">
        <v>1</v>
      </c>
      <c r="M50" s="159">
        <v>1</v>
      </c>
      <c r="N50" s="41">
        <f t="shared" si="1"/>
        <v>15.72</v>
      </c>
      <c r="O50" s="40">
        <v>7</v>
      </c>
      <c r="P50" s="40">
        <v>7</v>
      </c>
      <c r="Q50" s="158">
        <v>4</v>
      </c>
      <c r="R50" s="159">
        <v>1</v>
      </c>
      <c r="S50" s="41">
        <f t="shared" si="2"/>
        <v>21.694399999999998</v>
      </c>
      <c r="T50" s="39"/>
      <c r="U50" s="40"/>
      <c r="V50" s="158"/>
      <c r="W50" s="159"/>
      <c r="X50" s="41">
        <f t="shared" si="3"/>
        <v>0</v>
      </c>
      <c r="Y50" s="40"/>
      <c r="Z50" s="40"/>
      <c r="AA50" s="158"/>
      <c r="AB50" s="159"/>
      <c r="AC50" s="41">
        <f t="shared" si="4"/>
        <v>0</v>
      </c>
      <c r="AD50" s="40"/>
      <c r="AE50" s="40"/>
      <c r="AF50" s="158"/>
      <c r="AG50" s="159"/>
      <c r="AH50" s="41">
        <f t="shared" si="5"/>
        <v>0</v>
      </c>
      <c r="AI50" s="39"/>
      <c r="AJ50" s="40"/>
      <c r="AK50" s="158"/>
      <c r="AL50" s="159"/>
      <c r="AM50" s="224">
        <f t="shared" si="6"/>
        <v>0</v>
      </c>
    </row>
    <row r="51" spans="1:39">
      <c r="A51" s="14" t="s">
        <v>1</v>
      </c>
      <c r="B51" s="15" t="s">
        <v>43</v>
      </c>
      <c r="C51" s="306"/>
      <c r="D51" s="294"/>
      <c r="E51" s="294"/>
      <c r="F51" s="87"/>
      <c r="G51" s="45">
        <v>9</v>
      </c>
      <c r="H51" s="45">
        <v>9</v>
      </c>
      <c r="I51" s="46">
        <f t="shared" si="0"/>
        <v>27720.000000000004</v>
      </c>
      <c r="J51" s="44"/>
      <c r="K51" s="45"/>
      <c r="L51" s="160"/>
      <c r="M51" s="161"/>
      <c r="N51" s="46">
        <f t="shared" si="1"/>
        <v>0</v>
      </c>
      <c r="O51" s="45"/>
      <c r="P51" s="45"/>
      <c r="Q51" s="160"/>
      <c r="R51" s="161"/>
      <c r="S51" s="46">
        <f t="shared" si="2"/>
        <v>0</v>
      </c>
      <c r="T51" s="44"/>
      <c r="U51" s="45"/>
      <c r="V51" s="160"/>
      <c r="W51" s="161"/>
      <c r="X51" s="46">
        <f t="shared" si="3"/>
        <v>0</v>
      </c>
      <c r="Y51" s="45"/>
      <c r="Z51" s="45"/>
      <c r="AA51" s="160"/>
      <c r="AB51" s="161"/>
      <c r="AC51" s="46">
        <f t="shared" si="4"/>
        <v>0</v>
      </c>
      <c r="AD51" s="45"/>
      <c r="AE51" s="45"/>
      <c r="AF51" s="160"/>
      <c r="AG51" s="161"/>
      <c r="AH51" s="46">
        <f t="shared" si="5"/>
        <v>0</v>
      </c>
      <c r="AI51" s="44"/>
      <c r="AJ51" s="45"/>
      <c r="AK51" s="160"/>
      <c r="AL51" s="161"/>
      <c r="AM51" s="225">
        <f t="shared" si="6"/>
        <v>0</v>
      </c>
    </row>
    <row r="52" spans="1:39" ht="15.75" thickBot="1">
      <c r="A52" s="16" t="s">
        <v>1</v>
      </c>
      <c r="B52" s="17" t="s">
        <v>11</v>
      </c>
      <c r="C52" s="299"/>
      <c r="D52" s="48" t="s">
        <v>11</v>
      </c>
      <c r="E52" s="48" t="s">
        <v>69</v>
      </c>
      <c r="F52" s="90">
        <v>7000</v>
      </c>
      <c r="G52" s="50">
        <v>9</v>
      </c>
      <c r="H52" s="50">
        <v>9</v>
      </c>
      <c r="I52" s="51">
        <f t="shared" si="0"/>
        <v>35420</v>
      </c>
      <c r="J52" s="49"/>
      <c r="K52" s="50"/>
      <c r="L52" s="170"/>
      <c r="M52" s="171"/>
      <c r="N52" s="51">
        <f t="shared" si="1"/>
        <v>0</v>
      </c>
      <c r="O52" s="50"/>
      <c r="P52" s="50"/>
      <c r="Q52" s="170"/>
      <c r="R52" s="171"/>
      <c r="S52" s="51">
        <f t="shared" si="2"/>
        <v>0</v>
      </c>
      <c r="T52" s="49">
        <v>7</v>
      </c>
      <c r="U52" s="50">
        <v>7</v>
      </c>
      <c r="V52" s="170"/>
      <c r="W52" s="171"/>
      <c r="X52" s="51">
        <f t="shared" si="3"/>
        <v>9.1</v>
      </c>
      <c r="Y52" s="50">
        <v>7</v>
      </c>
      <c r="Z52" s="50">
        <v>7</v>
      </c>
      <c r="AA52" s="170"/>
      <c r="AB52" s="171"/>
      <c r="AC52" s="51">
        <f t="shared" si="4"/>
        <v>9.1</v>
      </c>
      <c r="AD52" s="50">
        <v>7</v>
      </c>
      <c r="AE52" s="50">
        <v>7</v>
      </c>
      <c r="AF52" s="170"/>
      <c r="AG52" s="171"/>
      <c r="AH52" s="51">
        <f t="shared" si="5"/>
        <v>9.1</v>
      </c>
      <c r="AI52" s="49"/>
      <c r="AJ52" s="50"/>
      <c r="AK52" s="170"/>
      <c r="AL52" s="171"/>
      <c r="AM52" s="229">
        <f t="shared" si="6"/>
        <v>0</v>
      </c>
    </row>
    <row r="53" spans="1:39">
      <c r="A53" s="214" t="s">
        <v>76</v>
      </c>
      <c r="B53" s="11" t="s">
        <v>78</v>
      </c>
      <c r="C53" s="290" t="s">
        <v>76</v>
      </c>
      <c r="D53" s="34" t="s">
        <v>78</v>
      </c>
      <c r="E53" s="34" t="s">
        <v>68</v>
      </c>
      <c r="F53" s="89">
        <v>2000</v>
      </c>
      <c r="G53" s="36">
        <v>10</v>
      </c>
      <c r="H53" s="36">
        <v>10</v>
      </c>
      <c r="I53" s="77">
        <f t="shared" si="0"/>
        <v>34100</v>
      </c>
      <c r="J53" s="74"/>
      <c r="K53" s="78"/>
      <c r="L53" s="178"/>
      <c r="M53" s="179"/>
      <c r="N53" s="77">
        <f t="shared" si="1"/>
        <v>0</v>
      </c>
      <c r="O53" s="78"/>
      <c r="P53" s="78"/>
      <c r="Q53" s="178"/>
      <c r="R53" s="179"/>
      <c r="S53" s="77">
        <f t="shared" si="2"/>
        <v>0</v>
      </c>
      <c r="T53" s="74"/>
      <c r="U53" s="78"/>
      <c r="V53" s="178"/>
      <c r="W53" s="179"/>
      <c r="X53" s="77">
        <f t="shared" si="3"/>
        <v>0</v>
      </c>
      <c r="Y53" s="78"/>
      <c r="Z53" s="78"/>
      <c r="AA53" s="178"/>
      <c r="AB53" s="179"/>
      <c r="AC53" s="77">
        <f t="shared" si="4"/>
        <v>0</v>
      </c>
      <c r="AD53" s="78"/>
      <c r="AE53" s="78"/>
      <c r="AF53" s="178"/>
      <c r="AG53" s="179"/>
      <c r="AH53" s="77">
        <f t="shared" si="5"/>
        <v>0</v>
      </c>
      <c r="AI53" s="74"/>
      <c r="AJ53" s="78"/>
      <c r="AK53" s="178"/>
      <c r="AL53" s="179"/>
      <c r="AM53" s="231">
        <f t="shared" si="6"/>
        <v>0</v>
      </c>
    </row>
    <row r="54" spans="1:39">
      <c r="A54" s="215" t="s">
        <v>76</v>
      </c>
      <c r="B54" s="216" t="s">
        <v>77</v>
      </c>
      <c r="C54" s="291"/>
      <c r="D54" s="32" t="s">
        <v>77</v>
      </c>
      <c r="E54" s="32"/>
      <c r="F54" s="88">
        <v>2000</v>
      </c>
      <c r="G54" s="40"/>
      <c r="H54" s="40"/>
      <c r="I54" s="41">
        <f t="shared" si="0"/>
        <v>2200</v>
      </c>
      <c r="J54" s="39"/>
      <c r="K54" s="42"/>
      <c r="L54" s="182"/>
      <c r="M54" s="183"/>
      <c r="N54" s="41">
        <f t="shared" si="1"/>
        <v>0</v>
      </c>
      <c r="O54" s="40"/>
      <c r="P54" s="42"/>
      <c r="Q54" s="182"/>
      <c r="R54" s="183"/>
      <c r="S54" s="41">
        <f t="shared" si="2"/>
        <v>0</v>
      </c>
      <c r="T54" s="39"/>
      <c r="U54" s="40"/>
      <c r="V54" s="158"/>
      <c r="W54" s="159"/>
      <c r="X54" s="41">
        <f t="shared" si="3"/>
        <v>0</v>
      </c>
      <c r="Y54" s="40"/>
      <c r="Z54" s="40"/>
      <c r="AA54" s="158"/>
      <c r="AB54" s="159"/>
      <c r="AC54" s="41">
        <f t="shared" si="4"/>
        <v>0</v>
      </c>
      <c r="AD54" s="40"/>
      <c r="AE54" s="40"/>
      <c r="AF54" s="158"/>
      <c r="AG54" s="159"/>
      <c r="AH54" s="41">
        <f t="shared" si="5"/>
        <v>0</v>
      </c>
      <c r="AI54" s="39"/>
      <c r="AJ54" s="40"/>
      <c r="AK54" s="158"/>
      <c r="AL54" s="159"/>
      <c r="AM54" s="224">
        <f t="shared" si="6"/>
        <v>0</v>
      </c>
    </row>
    <row r="55" spans="1:39">
      <c r="A55" s="217" t="s">
        <v>76</v>
      </c>
      <c r="B55" s="218" t="s">
        <v>92</v>
      </c>
      <c r="C55" s="291"/>
      <c r="D55" s="97" t="s">
        <v>92</v>
      </c>
      <c r="E55" s="97" t="s">
        <v>68</v>
      </c>
      <c r="F55" s="92"/>
      <c r="G55" s="74"/>
      <c r="H55" s="78"/>
      <c r="I55" s="77">
        <f t="shared" si="0"/>
        <v>0</v>
      </c>
      <c r="J55" s="74"/>
      <c r="K55" s="76"/>
      <c r="L55" s="186"/>
      <c r="M55" s="187"/>
      <c r="N55" s="77">
        <f t="shared" si="1"/>
        <v>0</v>
      </c>
      <c r="O55" s="74"/>
      <c r="P55" s="76"/>
      <c r="Q55" s="186"/>
      <c r="R55" s="187"/>
      <c r="S55" s="77">
        <f t="shared" si="2"/>
        <v>0</v>
      </c>
      <c r="T55" s="74"/>
      <c r="U55" s="78"/>
      <c r="V55" s="178"/>
      <c r="W55" s="179"/>
      <c r="X55" s="77">
        <f t="shared" si="3"/>
        <v>0</v>
      </c>
      <c r="Y55" s="74"/>
      <c r="Z55" s="78"/>
      <c r="AA55" s="178"/>
      <c r="AB55" s="179"/>
      <c r="AC55" s="77">
        <f t="shared" si="4"/>
        <v>0</v>
      </c>
      <c r="AD55" s="74"/>
      <c r="AE55" s="78"/>
      <c r="AF55" s="178"/>
      <c r="AG55" s="179"/>
      <c r="AH55" s="77">
        <f t="shared" si="5"/>
        <v>0</v>
      </c>
      <c r="AI55" s="74"/>
      <c r="AJ55" s="78"/>
      <c r="AK55" s="178"/>
      <c r="AL55" s="179"/>
      <c r="AM55" s="231">
        <f t="shared" si="6"/>
        <v>0</v>
      </c>
    </row>
    <row r="56" spans="1:39" ht="15.75" thickBot="1">
      <c r="A56" s="219" t="s">
        <v>76</v>
      </c>
      <c r="B56" s="10" t="s">
        <v>91</v>
      </c>
      <c r="C56" s="292"/>
      <c r="D56" s="98" t="s">
        <v>91</v>
      </c>
      <c r="E56" s="98" t="s">
        <v>68</v>
      </c>
      <c r="F56" s="90"/>
      <c r="G56" s="49"/>
      <c r="H56" s="50"/>
      <c r="I56" s="51">
        <f t="shared" si="0"/>
        <v>0</v>
      </c>
      <c r="J56" s="49"/>
      <c r="K56" s="53"/>
      <c r="L56" s="162"/>
      <c r="M56" s="163"/>
      <c r="N56" s="51">
        <f t="shared" si="1"/>
        <v>0</v>
      </c>
      <c r="O56" s="49"/>
      <c r="P56" s="53"/>
      <c r="Q56" s="162"/>
      <c r="R56" s="163"/>
      <c r="S56" s="51">
        <f t="shared" si="2"/>
        <v>0</v>
      </c>
      <c r="T56" s="49"/>
      <c r="U56" s="50"/>
      <c r="V56" s="170"/>
      <c r="W56" s="171"/>
      <c r="X56" s="51">
        <f t="shared" si="3"/>
        <v>0</v>
      </c>
      <c r="Y56" s="49"/>
      <c r="Z56" s="50"/>
      <c r="AA56" s="170"/>
      <c r="AB56" s="171"/>
      <c r="AC56" s="51">
        <f t="shared" si="4"/>
        <v>0</v>
      </c>
      <c r="AD56" s="49"/>
      <c r="AE56" s="50"/>
      <c r="AF56" s="170"/>
      <c r="AG56" s="171"/>
      <c r="AH56" s="51">
        <f t="shared" si="5"/>
        <v>0</v>
      </c>
      <c r="AI56" s="49"/>
      <c r="AJ56" s="50"/>
      <c r="AK56" s="170"/>
      <c r="AL56" s="171"/>
      <c r="AM56" s="229">
        <f t="shared" si="6"/>
        <v>0</v>
      </c>
    </row>
    <row r="57" spans="1:39">
      <c r="A57" s="22" t="s">
        <v>34</v>
      </c>
      <c r="B57" s="143" t="s">
        <v>35</v>
      </c>
      <c r="C57" s="295" t="s">
        <v>34</v>
      </c>
      <c r="D57" s="222" t="s">
        <v>35</v>
      </c>
      <c r="E57" s="43" t="s">
        <v>67</v>
      </c>
      <c r="F57" s="87">
        <v>2000</v>
      </c>
      <c r="G57" s="45">
        <v>8</v>
      </c>
      <c r="H57" s="60">
        <v>1</v>
      </c>
      <c r="I57" s="46">
        <f t="shared" si="0"/>
        <v>19800</v>
      </c>
      <c r="J57" s="44"/>
      <c r="K57" s="45"/>
      <c r="L57" s="160"/>
      <c r="M57" s="161"/>
      <c r="N57" s="46">
        <f t="shared" si="1"/>
        <v>0</v>
      </c>
      <c r="O57" s="45"/>
      <c r="P57" s="45"/>
      <c r="Q57" s="160"/>
      <c r="R57" s="161"/>
      <c r="S57" s="46">
        <f t="shared" si="2"/>
        <v>0</v>
      </c>
      <c r="T57" s="44"/>
      <c r="U57" s="45"/>
      <c r="V57" s="160"/>
      <c r="W57" s="161"/>
      <c r="X57" s="46">
        <f t="shared" si="3"/>
        <v>0</v>
      </c>
      <c r="Y57" s="45"/>
      <c r="Z57" s="45"/>
      <c r="AA57" s="160"/>
      <c r="AB57" s="161"/>
      <c r="AC57" s="46">
        <f t="shared" si="4"/>
        <v>0</v>
      </c>
      <c r="AD57" s="45"/>
      <c r="AE57" s="45"/>
      <c r="AF57" s="160"/>
      <c r="AG57" s="161"/>
      <c r="AH57" s="46">
        <f t="shared" si="5"/>
        <v>0</v>
      </c>
      <c r="AI57" s="44"/>
      <c r="AJ57" s="45"/>
      <c r="AK57" s="160"/>
      <c r="AL57" s="161"/>
      <c r="AM57" s="225">
        <f t="shared" si="6"/>
        <v>0</v>
      </c>
    </row>
    <row r="58" spans="1:39">
      <c r="A58" s="22" t="s">
        <v>34</v>
      </c>
      <c r="B58" s="143" t="s">
        <v>72</v>
      </c>
      <c r="C58" s="296"/>
      <c r="D58" s="301" t="s">
        <v>72</v>
      </c>
      <c r="E58" s="293" t="s">
        <v>67</v>
      </c>
      <c r="F58" s="93">
        <v>2000</v>
      </c>
      <c r="G58" s="94"/>
      <c r="H58" s="111"/>
      <c r="I58" s="96">
        <f t="shared" si="0"/>
        <v>2200</v>
      </c>
      <c r="J58" s="95">
        <v>6</v>
      </c>
      <c r="K58" s="94">
        <v>1</v>
      </c>
      <c r="L58" s="156"/>
      <c r="M58" s="157"/>
      <c r="N58" s="96">
        <f t="shared" si="1"/>
        <v>12</v>
      </c>
      <c r="O58" s="94"/>
      <c r="P58" s="94"/>
      <c r="Q58" s="156"/>
      <c r="R58" s="157"/>
      <c r="S58" s="96">
        <f t="shared" si="2"/>
        <v>0</v>
      </c>
      <c r="T58" s="95">
        <v>3</v>
      </c>
      <c r="U58" s="94">
        <v>1</v>
      </c>
      <c r="V58" s="156"/>
      <c r="W58" s="157"/>
      <c r="X58" s="96">
        <f t="shared" si="3"/>
        <v>3</v>
      </c>
      <c r="Y58" s="94"/>
      <c r="Z58" s="94"/>
      <c r="AA58" s="156"/>
      <c r="AB58" s="157"/>
      <c r="AC58" s="96">
        <f t="shared" si="4"/>
        <v>0</v>
      </c>
      <c r="AD58" s="94"/>
      <c r="AE58" s="94"/>
      <c r="AF58" s="156"/>
      <c r="AG58" s="157"/>
      <c r="AH58" s="96">
        <f t="shared" si="5"/>
        <v>0</v>
      </c>
      <c r="AI58" s="95">
        <v>2</v>
      </c>
      <c r="AJ58" s="94">
        <v>1</v>
      </c>
      <c r="AK58" s="156"/>
      <c r="AL58" s="157"/>
      <c r="AM58" s="228">
        <f t="shared" si="6"/>
        <v>2</v>
      </c>
    </row>
    <row r="59" spans="1:39">
      <c r="A59" s="22" t="s">
        <v>34</v>
      </c>
      <c r="B59" s="143" t="s">
        <v>72</v>
      </c>
      <c r="C59" s="296"/>
      <c r="D59" s="302"/>
      <c r="E59" s="294"/>
      <c r="F59" s="93"/>
      <c r="G59" s="94"/>
      <c r="H59" s="111"/>
      <c r="I59" s="96">
        <f t="shared" si="0"/>
        <v>0</v>
      </c>
      <c r="J59" s="95">
        <v>5</v>
      </c>
      <c r="K59" s="111">
        <v>1</v>
      </c>
      <c r="L59" s="168"/>
      <c r="M59" s="169"/>
      <c r="N59" s="96">
        <f t="shared" si="1"/>
        <v>10</v>
      </c>
      <c r="O59" s="94"/>
      <c r="P59" s="94"/>
      <c r="Q59" s="156"/>
      <c r="R59" s="157"/>
      <c r="S59" s="96">
        <f t="shared" si="2"/>
        <v>0</v>
      </c>
      <c r="T59" s="95"/>
      <c r="U59" s="94"/>
      <c r="V59" s="156"/>
      <c r="W59" s="157"/>
      <c r="X59" s="96">
        <f t="shared" si="3"/>
        <v>0</v>
      </c>
      <c r="Y59" s="94"/>
      <c r="Z59" s="94"/>
      <c r="AA59" s="156"/>
      <c r="AB59" s="157"/>
      <c r="AC59" s="96">
        <f t="shared" si="4"/>
        <v>0</v>
      </c>
      <c r="AD59" s="94"/>
      <c r="AE59" s="94"/>
      <c r="AF59" s="156"/>
      <c r="AG59" s="157"/>
      <c r="AH59" s="96">
        <f t="shared" si="5"/>
        <v>0</v>
      </c>
      <c r="AI59" s="95"/>
      <c r="AJ59" s="94"/>
      <c r="AK59" s="156"/>
      <c r="AL59" s="157"/>
      <c r="AM59" s="228">
        <f t="shared" si="6"/>
        <v>0</v>
      </c>
    </row>
    <row r="60" spans="1:39">
      <c r="A60" s="22" t="s">
        <v>34</v>
      </c>
      <c r="B60" s="143" t="s">
        <v>36</v>
      </c>
      <c r="C60" s="296"/>
      <c r="D60" s="144" t="s">
        <v>36</v>
      </c>
      <c r="E60" s="91" t="s">
        <v>67</v>
      </c>
      <c r="F60" s="92">
        <v>2000</v>
      </c>
      <c r="G60" s="78">
        <v>6</v>
      </c>
      <c r="H60" s="142">
        <v>1</v>
      </c>
      <c r="I60" s="77">
        <f t="shared" si="0"/>
        <v>15400.000000000002</v>
      </c>
      <c r="J60" s="74"/>
      <c r="K60" s="78"/>
      <c r="L60" s="178"/>
      <c r="M60" s="179"/>
      <c r="N60" s="77">
        <f t="shared" si="1"/>
        <v>0</v>
      </c>
      <c r="O60" s="78">
        <v>8</v>
      </c>
      <c r="P60" s="142">
        <v>1</v>
      </c>
      <c r="Q60" s="192"/>
      <c r="R60" s="193"/>
      <c r="S60" s="77">
        <f t="shared" si="2"/>
        <v>16</v>
      </c>
      <c r="T60" s="74">
        <v>6</v>
      </c>
      <c r="U60" s="142">
        <v>1</v>
      </c>
      <c r="V60" s="192"/>
      <c r="W60" s="193"/>
      <c r="X60" s="77">
        <f t="shared" si="3"/>
        <v>6</v>
      </c>
      <c r="Y60" s="78"/>
      <c r="Z60" s="78"/>
      <c r="AA60" s="178"/>
      <c r="AB60" s="179"/>
      <c r="AC60" s="77">
        <f t="shared" si="4"/>
        <v>0</v>
      </c>
      <c r="AD60" s="78">
        <v>6</v>
      </c>
      <c r="AE60" s="142">
        <v>1</v>
      </c>
      <c r="AF60" s="192"/>
      <c r="AG60" s="193"/>
      <c r="AH60" s="77">
        <f t="shared" si="5"/>
        <v>6</v>
      </c>
      <c r="AI60" s="74"/>
      <c r="AJ60" s="78"/>
      <c r="AK60" s="178"/>
      <c r="AL60" s="179"/>
      <c r="AM60" s="231">
        <f t="shared" si="6"/>
        <v>0</v>
      </c>
    </row>
    <row r="61" spans="1:39" ht="15.75" thickBot="1">
      <c r="A61" s="220" t="s">
        <v>34</v>
      </c>
      <c r="B61" s="221" t="s">
        <v>53</v>
      </c>
      <c r="C61" s="297"/>
      <c r="D61" s="145" t="s">
        <v>53</v>
      </c>
      <c r="E61" s="48" t="s">
        <v>67</v>
      </c>
      <c r="F61" s="49">
        <v>4000</v>
      </c>
      <c r="G61" s="49">
        <v>5</v>
      </c>
      <c r="H61" s="53">
        <v>5</v>
      </c>
      <c r="I61" s="51">
        <f t="shared" si="0"/>
        <v>17600</v>
      </c>
      <c r="J61" s="49">
        <v>5</v>
      </c>
      <c r="K61" s="50">
        <v>5</v>
      </c>
      <c r="L61" s="196"/>
      <c r="M61" s="171"/>
      <c r="N61" s="51">
        <f t="shared" si="1"/>
        <v>12</v>
      </c>
      <c r="O61" s="49">
        <v>5</v>
      </c>
      <c r="P61" s="50">
        <v>5</v>
      </c>
      <c r="Q61" s="170"/>
      <c r="R61" s="171"/>
      <c r="S61" s="51">
        <f t="shared" si="2"/>
        <v>12</v>
      </c>
      <c r="T61" s="49"/>
      <c r="U61" s="50"/>
      <c r="V61" s="170"/>
      <c r="W61" s="171"/>
      <c r="X61" s="51">
        <f t="shared" si="3"/>
        <v>0</v>
      </c>
      <c r="Y61" s="49">
        <v>4</v>
      </c>
      <c r="Z61" s="50">
        <v>4</v>
      </c>
      <c r="AA61" s="170"/>
      <c r="AB61" s="171"/>
      <c r="AC61" s="51">
        <f t="shared" si="4"/>
        <v>4.5999999999999996</v>
      </c>
      <c r="AD61" s="49"/>
      <c r="AE61" s="50"/>
      <c r="AF61" s="170"/>
      <c r="AG61" s="171"/>
      <c r="AH61" s="51">
        <f t="shared" si="5"/>
        <v>0</v>
      </c>
      <c r="AI61" s="49"/>
      <c r="AJ61" s="50"/>
      <c r="AK61" s="170"/>
      <c r="AL61" s="171"/>
      <c r="AM61" s="229">
        <f t="shared" si="6"/>
        <v>0</v>
      </c>
    </row>
    <row r="62" spans="1:39">
      <c r="A62" s="202" t="s">
        <v>138</v>
      </c>
      <c r="C62" s="31"/>
      <c r="D62" s="31"/>
      <c r="E62" s="31"/>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row>
    <row r="63" spans="1:39">
      <c r="C63" s="31"/>
      <c r="D63" s="31"/>
      <c r="E63" s="31"/>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row>
    <row r="64" spans="1:39">
      <c r="C64" s="31"/>
      <c r="D64" s="31"/>
      <c r="E64" s="31"/>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row>
    <row r="65" spans="3:39">
      <c r="C65" s="31"/>
      <c r="D65" s="31"/>
      <c r="E65" s="31"/>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row>
    <row r="66" spans="3:39">
      <c r="C66" s="31"/>
      <c r="D66" s="31"/>
      <c r="E66" s="31"/>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row>
    <row r="67" spans="3:39">
      <c r="C67" s="31"/>
      <c r="D67" s="31"/>
      <c r="E67" s="31"/>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row>
    <row r="68" spans="3:39">
      <c r="C68" s="31"/>
      <c r="D68" s="31"/>
      <c r="E68" s="31"/>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row>
    <row r="69" spans="3:39">
      <c r="C69" s="31"/>
      <c r="D69" s="31"/>
      <c r="E69" s="31"/>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row>
    <row r="70" spans="3:39">
      <c r="C70" s="31"/>
      <c r="D70" s="31"/>
      <c r="E70" s="31"/>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row>
    <row r="71" spans="3:39">
      <c r="C71" s="31"/>
      <c r="D71" s="31"/>
      <c r="E71" s="31"/>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row>
    <row r="72" spans="3:39">
      <c r="C72" s="31"/>
      <c r="D72" s="31"/>
      <c r="E72" s="31"/>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row>
    <row r="73" spans="3:39">
      <c r="C73" s="31"/>
      <c r="D73" s="31"/>
      <c r="E73" s="31"/>
      <c r="F73" s="30"/>
      <c r="G73" s="30"/>
      <c r="H73" s="30"/>
      <c r="I73" s="30"/>
      <c r="J73" s="30"/>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row>
    <row r="74" spans="3:39">
      <c r="C74" s="31"/>
      <c r="D74" s="31"/>
      <c r="E74" s="31"/>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row>
    <row r="75" spans="3:39">
      <c r="C75" s="31"/>
      <c r="D75" s="31"/>
      <c r="E75" s="31"/>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row>
    <row r="76" spans="3:39">
      <c r="C76" s="31"/>
      <c r="D76" s="31"/>
      <c r="E76" s="31"/>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row>
    <row r="77" spans="3:39">
      <c r="C77" s="31"/>
      <c r="D77" s="31"/>
      <c r="E77" s="31"/>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row>
    <row r="78" spans="3:39">
      <c r="C78" s="31"/>
      <c r="D78" s="31"/>
      <c r="E78" s="31"/>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row>
    <row r="79" spans="3:39">
      <c r="C79" s="31"/>
      <c r="D79" s="31"/>
      <c r="E79" s="31"/>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row>
    <row r="80" spans="3:39">
      <c r="C80" s="31"/>
      <c r="D80" s="31"/>
      <c r="E80" s="31"/>
      <c r="F80" s="30"/>
      <c r="G80" s="30"/>
      <c r="H80" s="30"/>
      <c r="I80" s="30"/>
      <c r="J80" s="30"/>
      <c r="K80" s="30"/>
      <c r="L80" s="30"/>
      <c r="M80" s="30"/>
      <c r="N80" s="30"/>
      <c r="O80" s="30"/>
      <c r="P80" s="30"/>
      <c r="Q80" s="30"/>
      <c r="R80" s="30"/>
      <c r="S80" s="30"/>
      <c r="T80" s="30"/>
      <c r="U80" s="30"/>
      <c r="V80" s="30"/>
      <c r="W80" s="30"/>
      <c r="X80" s="30"/>
      <c r="Y80" s="30"/>
      <c r="Z80" s="30"/>
      <c r="AA80" s="30"/>
      <c r="AB80" s="30"/>
      <c r="AC80" s="30"/>
      <c r="AD80" s="30"/>
      <c r="AE80" s="30"/>
      <c r="AF80" s="30"/>
      <c r="AG80" s="30"/>
      <c r="AH80" s="30"/>
      <c r="AI80" s="30"/>
      <c r="AJ80" s="30"/>
      <c r="AK80" s="30"/>
      <c r="AL80" s="30"/>
      <c r="AM80" s="30"/>
    </row>
    <row r="81" spans="3:39">
      <c r="C81" s="31"/>
      <c r="D81" s="31"/>
      <c r="E81" s="31"/>
      <c r="F81" s="30"/>
      <c r="G81" s="30"/>
      <c r="H81" s="30"/>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row>
    <row r="82" spans="3:39">
      <c r="C82" s="31"/>
      <c r="D82" s="31"/>
      <c r="E82" s="31"/>
      <c r="F82" s="30"/>
      <c r="G82" s="30"/>
      <c r="H82" s="30"/>
      <c r="I82" s="30"/>
      <c r="J82" s="30"/>
      <c r="K82" s="30"/>
      <c r="L82" s="30"/>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row>
    <row r="83" spans="3:39">
      <c r="C83" s="31"/>
      <c r="D83" s="31"/>
      <c r="E83" s="31"/>
      <c r="F83" s="30"/>
      <c r="G83" s="30"/>
      <c r="H83" s="30"/>
      <c r="I83" s="30"/>
      <c r="J83" s="30"/>
      <c r="K83" s="30"/>
      <c r="L83" s="30"/>
      <c r="M83" s="30"/>
      <c r="N83" s="30"/>
      <c r="O83" s="30"/>
      <c r="P83" s="30"/>
      <c r="Q83" s="30"/>
      <c r="R83" s="30"/>
      <c r="S83" s="30"/>
      <c r="T83" s="30"/>
      <c r="U83" s="30"/>
      <c r="V83" s="30"/>
      <c r="W83" s="30"/>
      <c r="X83" s="30"/>
      <c r="Y83" s="30"/>
      <c r="Z83" s="30"/>
      <c r="AA83" s="30"/>
      <c r="AB83" s="30"/>
      <c r="AC83" s="30"/>
      <c r="AD83" s="30"/>
      <c r="AE83" s="30"/>
      <c r="AF83" s="30"/>
      <c r="AG83" s="30"/>
      <c r="AH83" s="30"/>
      <c r="AI83" s="30"/>
      <c r="AJ83" s="30"/>
      <c r="AK83" s="30"/>
      <c r="AL83" s="30"/>
      <c r="AM83" s="30"/>
    </row>
    <row r="84" spans="3:39">
      <c r="C84" s="31"/>
      <c r="D84" s="31"/>
      <c r="E84" s="31"/>
      <c r="F84" s="30"/>
      <c r="G84" s="30"/>
      <c r="H84" s="30"/>
      <c r="I84" s="30"/>
      <c r="J84" s="30"/>
      <c r="K84" s="30"/>
      <c r="L84" s="30"/>
      <c r="M84" s="30"/>
      <c r="N84" s="30"/>
      <c r="O84" s="30"/>
      <c r="P84" s="30"/>
      <c r="Q84" s="30"/>
      <c r="R84" s="30"/>
      <c r="S84" s="30"/>
      <c r="T84" s="30"/>
      <c r="U84" s="30"/>
      <c r="V84" s="30"/>
      <c r="W84" s="30"/>
      <c r="X84" s="30"/>
      <c r="Y84" s="30"/>
      <c r="Z84" s="30"/>
      <c r="AA84" s="30"/>
      <c r="AB84" s="30"/>
      <c r="AC84" s="30"/>
      <c r="AD84" s="30"/>
      <c r="AE84" s="30"/>
      <c r="AF84" s="30"/>
      <c r="AG84" s="30"/>
      <c r="AH84" s="30"/>
      <c r="AI84" s="30"/>
      <c r="AJ84" s="30"/>
      <c r="AK84" s="30"/>
      <c r="AL84" s="30"/>
      <c r="AM84" s="30"/>
    </row>
    <row r="85" spans="3:39">
      <c r="C85" s="31"/>
      <c r="D85" s="31"/>
      <c r="E85" s="31"/>
      <c r="F85" s="30"/>
      <c r="G85" s="30"/>
      <c r="H85" s="30"/>
      <c r="I85" s="30"/>
      <c r="J85" s="30"/>
      <c r="K85" s="30"/>
      <c r="L85" s="30"/>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row>
    <row r="86" spans="3:39">
      <c r="C86" s="31"/>
      <c r="D86" s="31"/>
      <c r="E86" s="31"/>
      <c r="F86" s="30"/>
      <c r="G86" s="30"/>
      <c r="H86" s="30"/>
      <c r="I86" s="30"/>
      <c r="J86" s="30"/>
      <c r="K86" s="30"/>
      <c r="L86" s="30"/>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row>
    <row r="87" spans="3:39">
      <c r="C87" s="31"/>
      <c r="D87" s="31"/>
      <c r="E87" s="31"/>
      <c r="F87" s="30"/>
      <c r="G87" s="30"/>
      <c r="H87" s="30"/>
      <c r="I87" s="30"/>
      <c r="J87" s="30"/>
      <c r="K87" s="30"/>
      <c r="L87" s="30"/>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row>
    <row r="88" spans="3:39">
      <c r="C88" s="31"/>
      <c r="D88" s="31"/>
      <c r="E88" s="31"/>
      <c r="F88" s="30"/>
      <c r="G88" s="30"/>
      <c r="H88" s="30"/>
      <c r="I88" s="30"/>
      <c r="J88" s="30"/>
      <c r="K88" s="30"/>
      <c r="L88" s="30"/>
      <c r="M88" s="30"/>
      <c r="N88" s="30"/>
      <c r="O88" s="30"/>
      <c r="P88" s="30"/>
      <c r="Q88" s="30"/>
      <c r="R88" s="30"/>
      <c r="S88" s="30"/>
      <c r="T88" s="30"/>
      <c r="U88" s="30"/>
      <c r="V88" s="30"/>
      <c r="W88" s="30"/>
      <c r="X88" s="30"/>
      <c r="Y88" s="30"/>
      <c r="Z88" s="30"/>
      <c r="AA88" s="30"/>
      <c r="AB88" s="30"/>
      <c r="AC88" s="30"/>
      <c r="AD88" s="30"/>
      <c r="AE88" s="30"/>
      <c r="AF88" s="30"/>
      <c r="AG88" s="30"/>
      <c r="AH88" s="30"/>
      <c r="AI88" s="30"/>
      <c r="AJ88" s="30"/>
      <c r="AK88" s="30"/>
      <c r="AL88" s="30"/>
      <c r="AM88" s="30"/>
    </row>
    <row r="89" spans="3:39">
      <c r="C89" s="31"/>
      <c r="D89" s="31"/>
      <c r="E89" s="31"/>
      <c r="F89" s="30"/>
      <c r="G89" s="30"/>
      <c r="H89" s="30"/>
      <c r="I89" s="30"/>
      <c r="J89" s="30"/>
      <c r="K89" s="30"/>
      <c r="L89" s="30"/>
      <c r="M89" s="30"/>
      <c r="N89" s="30"/>
      <c r="O89" s="30"/>
      <c r="P89" s="30"/>
      <c r="Q89" s="30"/>
      <c r="R89" s="30"/>
      <c r="S89" s="30"/>
      <c r="T89" s="30"/>
      <c r="U89" s="30"/>
      <c r="V89" s="30"/>
      <c r="W89" s="30"/>
      <c r="X89" s="30"/>
      <c r="Y89" s="30"/>
      <c r="Z89" s="30"/>
      <c r="AA89" s="30"/>
      <c r="AB89" s="30"/>
      <c r="AC89" s="30"/>
      <c r="AD89" s="30"/>
      <c r="AE89" s="30"/>
      <c r="AF89" s="30"/>
      <c r="AG89" s="30"/>
      <c r="AH89" s="30"/>
      <c r="AI89" s="30"/>
      <c r="AJ89" s="30"/>
      <c r="AK89" s="30"/>
      <c r="AL89" s="30"/>
      <c r="AM89" s="30"/>
    </row>
    <row r="90" spans="3:39">
      <c r="C90" s="31"/>
      <c r="D90" s="31"/>
      <c r="E90" s="31"/>
      <c r="F90" s="30"/>
      <c r="G90" s="30"/>
      <c r="H90" s="30"/>
      <c r="I90" s="30"/>
      <c r="J90" s="30"/>
      <c r="K90" s="30"/>
      <c r="L90" s="30"/>
      <c r="M90" s="30"/>
      <c r="N90" s="30"/>
      <c r="O90" s="30"/>
      <c r="P90" s="30"/>
      <c r="Q90" s="30"/>
      <c r="R90" s="30"/>
      <c r="S90" s="30"/>
      <c r="T90" s="30"/>
      <c r="U90" s="30"/>
      <c r="V90" s="30"/>
      <c r="W90" s="30"/>
      <c r="X90" s="30"/>
      <c r="Y90" s="30"/>
      <c r="Z90" s="30"/>
      <c r="AA90" s="30"/>
      <c r="AB90" s="30"/>
      <c r="AC90" s="30"/>
      <c r="AD90" s="30"/>
      <c r="AE90" s="30"/>
      <c r="AF90" s="30"/>
      <c r="AG90" s="30"/>
      <c r="AH90" s="30"/>
      <c r="AI90" s="30"/>
      <c r="AJ90" s="30"/>
      <c r="AK90" s="30"/>
      <c r="AL90" s="30"/>
      <c r="AM90" s="30"/>
    </row>
    <row r="91" spans="3:39">
      <c r="C91" s="31"/>
      <c r="D91" s="31"/>
      <c r="E91" s="31"/>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row>
    <row r="92" spans="3:39">
      <c r="C92" s="31"/>
      <c r="D92" s="31"/>
      <c r="E92" s="31"/>
      <c r="F92" s="30"/>
      <c r="G92" s="30"/>
      <c r="H92" s="30"/>
      <c r="I92" s="30"/>
      <c r="J92" s="30"/>
      <c r="K92" s="30"/>
      <c r="L92" s="30"/>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row>
    <row r="93" spans="3:39">
      <c r="C93" s="31"/>
      <c r="D93" s="31"/>
      <c r="E93" s="31"/>
      <c r="F93" s="30"/>
      <c r="G93" s="30"/>
      <c r="H93" s="30"/>
      <c r="I93" s="30"/>
      <c r="J93" s="30"/>
      <c r="K93" s="30"/>
      <c r="L93" s="30"/>
      <c r="M93" s="30"/>
      <c r="N93" s="30"/>
      <c r="O93" s="30"/>
      <c r="P93" s="30"/>
      <c r="Q93" s="30"/>
      <c r="R93" s="30"/>
      <c r="S93" s="30"/>
      <c r="T93" s="30"/>
      <c r="U93" s="30"/>
      <c r="V93" s="30"/>
      <c r="W93" s="30"/>
      <c r="X93" s="30"/>
      <c r="Y93" s="30"/>
      <c r="Z93" s="30"/>
      <c r="AA93" s="30"/>
      <c r="AB93" s="30"/>
      <c r="AC93" s="30"/>
      <c r="AD93" s="30"/>
      <c r="AE93" s="30"/>
      <c r="AF93" s="30"/>
      <c r="AG93" s="30"/>
      <c r="AH93" s="30"/>
      <c r="AI93" s="30"/>
      <c r="AJ93" s="30"/>
      <c r="AK93" s="30"/>
      <c r="AL93" s="30"/>
      <c r="AM93" s="30"/>
    </row>
    <row r="94" spans="3:39">
      <c r="C94" s="31"/>
      <c r="D94" s="31"/>
      <c r="E94" s="31"/>
      <c r="F94" s="30"/>
      <c r="G94" s="30"/>
      <c r="H94" s="30"/>
      <c r="I94" s="30"/>
      <c r="J94" s="30"/>
      <c r="K94" s="30"/>
      <c r="L94" s="30"/>
      <c r="M94" s="30"/>
      <c r="N94" s="30"/>
      <c r="O94" s="30"/>
      <c r="P94" s="30"/>
      <c r="Q94" s="30"/>
      <c r="R94" s="30"/>
      <c r="S94" s="30"/>
      <c r="T94" s="30"/>
      <c r="U94" s="30"/>
      <c r="V94" s="30"/>
      <c r="W94" s="30"/>
      <c r="X94" s="30"/>
      <c r="Y94" s="30"/>
      <c r="Z94" s="30"/>
      <c r="AA94" s="30"/>
      <c r="AB94" s="30"/>
      <c r="AC94" s="30"/>
      <c r="AD94" s="30"/>
      <c r="AE94" s="30"/>
      <c r="AF94" s="30"/>
      <c r="AG94" s="30"/>
      <c r="AH94" s="30"/>
      <c r="AI94" s="30"/>
      <c r="AJ94" s="30"/>
      <c r="AK94" s="30"/>
      <c r="AL94" s="30"/>
      <c r="AM94" s="30"/>
    </row>
    <row r="95" spans="3:39">
      <c r="C95" s="31"/>
      <c r="D95" s="31"/>
      <c r="E95" s="31"/>
      <c r="F95" s="30"/>
      <c r="G95" s="30"/>
      <c r="H95" s="30"/>
      <c r="I95" s="30"/>
      <c r="J95" s="30"/>
      <c r="K95" s="30"/>
      <c r="L95" s="30"/>
      <c r="M95" s="30"/>
      <c r="N95" s="30"/>
      <c r="O95" s="30"/>
      <c r="P95" s="30"/>
      <c r="Q95" s="30"/>
      <c r="R95" s="30"/>
      <c r="S95" s="30"/>
      <c r="T95" s="30"/>
      <c r="U95" s="30"/>
      <c r="V95" s="30"/>
      <c r="W95" s="30"/>
      <c r="X95" s="30"/>
      <c r="Y95" s="30"/>
      <c r="Z95" s="30"/>
      <c r="AA95" s="30"/>
      <c r="AB95" s="30"/>
      <c r="AC95" s="30"/>
      <c r="AD95" s="30"/>
      <c r="AE95" s="30"/>
      <c r="AF95" s="30"/>
      <c r="AG95" s="30"/>
      <c r="AH95" s="30"/>
      <c r="AI95" s="30"/>
      <c r="AJ95" s="30"/>
      <c r="AK95" s="30"/>
      <c r="AL95" s="30"/>
      <c r="AM95" s="30"/>
    </row>
    <row r="96" spans="3:39">
      <c r="C96" s="31"/>
      <c r="D96" s="31"/>
      <c r="E96" s="31"/>
      <c r="F96" s="30"/>
      <c r="G96" s="30"/>
      <c r="H96" s="30"/>
      <c r="I96" s="30"/>
      <c r="J96" s="30"/>
      <c r="K96" s="30"/>
      <c r="L96" s="30"/>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row>
    <row r="97" spans="3:39">
      <c r="C97" s="31"/>
      <c r="D97" s="31"/>
      <c r="E97" s="31"/>
      <c r="F97" s="30"/>
      <c r="G97" s="30"/>
      <c r="H97" s="30"/>
      <c r="I97" s="30"/>
      <c r="J97" s="30"/>
      <c r="K97" s="30"/>
      <c r="L97" s="30"/>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row>
    <row r="98" spans="3:39">
      <c r="C98" s="31"/>
      <c r="D98" s="31"/>
      <c r="E98" s="31"/>
      <c r="F98" s="30"/>
      <c r="G98" s="30"/>
      <c r="H98" s="30"/>
      <c r="I98" s="30"/>
      <c r="J98" s="30"/>
      <c r="K98" s="30"/>
      <c r="L98" s="30"/>
      <c r="M98" s="30"/>
      <c r="N98" s="30"/>
      <c r="O98" s="30"/>
      <c r="P98" s="30"/>
      <c r="Q98" s="30"/>
      <c r="R98" s="30"/>
      <c r="S98" s="30"/>
      <c r="T98" s="30"/>
      <c r="U98" s="30"/>
      <c r="V98" s="30"/>
      <c r="W98" s="30"/>
      <c r="X98" s="30"/>
      <c r="Y98" s="30"/>
      <c r="Z98" s="30"/>
      <c r="AA98" s="30"/>
      <c r="AB98" s="30"/>
      <c r="AC98" s="30"/>
      <c r="AD98" s="30"/>
      <c r="AE98" s="30"/>
      <c r="AF98" s="30"/>
      <c r="AG98" s="30"/>
      <c r="AH98" s="30"/>
      <c r="AI98" s="30"/>
      <c r="AJ98" s="30"/>
      <c r="AK98" s="30"/>
      <c r="AL98" s="30"/>
      <c r="AM98" s="30"/>
    </row>
    <row r="99" spans="3:39">
      <c r="C99" s="31"/>
      <c r="D99" s="31"/>
      <c r="E99" s="31"/>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row>
    <row r="100" spans="3:39">
      <c r="C100" s="31"/>
      <c r="D100" s="31"/>
      <c r="E100" s="31"/>
      <c r="F100" s="30"/>
      <c r="G100" s="30"/>
      <c r="H100" s="30"/>
      <c r="I100" s="30"/>
      <c r="J100" s="30"/>
      <c r="K100" s="30"/>
      <c r="L100" s="30"/>
      <c r="M100" s="30"/>
      <c r="N100" s="30"/>
      <c r="O100" s="30"/>
      <c r="P100" s="30"/>
      <c r="Q100" s="30"/>
      <c r="R100" s="30"/>
      <c r="S100" s="30"/>
      <c r="T100" s="30"/>
      <c r="U100" s="30"/>
      <c r="V100" s="30"/>
      <c r="W100" s="30"/>
      <c r="X100" s="30"/>
      <c r="Y100" s="30"/>
      <c r="Z100" s="30"/>
      <c r="AA100" s="30"/>
      <c r="AB100" s="30"/>
      <c r="AC100" s="30"/>
      <c r="AD100" s="30"/>
      <c r="AE100" s="30"/>
      <c r="AF100" s="30"/>
      <c r="AG100" s="30"/>
      <c r="AH100" s="30"/>
      <c r="AI100" s="30"/>
      <c r="AJ100" s="30"/>
      <c r="AK100" s="30"/>
      <c r="AL100" s="30"/>
      <c r="AM100" s="30"/>
    </row>
    <row r="101" spans="3:39">
      <c r="C101" s="31"/>
      <c r="D101" s="31"/>
      <c r="E101" s="31"/>
      <c r="F101" s="30"/>
      <c r="G101" s="30"/>
      <c r="H101" s="30"/>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row>
    <row r="102" spans="3:39">
      <c r="C102" s="31"/>
      <c r="D102" s="31"/>
      <c r="E102" s="31"/>
      <c r="F102" s="30"/>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row>
    <row r="103" spans="3:39">
      <c r="C103" s="31"/>
      <c r="D103" s="31"/>
      <c r="E103" s="31"/>
      <c r="F103" s="30"/>
      <c r="G103" s="30"/>
      <c r="H103" s="30"/>
      <c r="I103" s="30"/>
      <c r="J103" s="30"/>
      <c r="K103" s="30"/>
      <c r="L103" s="30"/>
      <c r="M103" s="30"/>
      <c r="N103" s="30"/>
      <c r="O103" s="30"/>
      <c r="P103" s="30"/>
      <c r="Q103" s="30"/>
      <c r="R103" s="30"/>
      <c r="S103" s="30"/>
      <c r="T103" s="30"/>
      <c r="U103" s="30"/>
      <c r="V103" s="30"/>
      <c r="W103" s="30"/>
      <c r="X103" s="30"/>
      <c r="Y103" s="30"/>
      <c r="Z103" s="30"/>
      <c r="AA103" s="30"/>
      <c r="AB103" s="30"/>
      <c r="AC103" s="30"/>
      <c r="AD103" s="30"/>
      <c r="AE103" s="30"/>
      <c r="AF103" s="30"/>
      <c r="AG103" s="30"/>
      <c r="AH103" s="30"/>
      <c r="AI103" s="30"/>
      <c r="AJ103" s="30"/>
      <c r="AK103" s="30"/>
      <c r="AL103" s="30"/>
      <c r="AM103" s="30"/>
    </row>
    <row r="104" spans="3:39">
      <c r="C104" s="31"/>
      <c r="D104" s="31"/>
      <c r="E104" s="31"/>
      <c r="F104" s="30"/>
      <c r="G104" s="30"/>
      <c r="H104" s="30"/>
      <c r="I104" s="30"/>
      <c r="J104" s="30"/>
      <c r="K104" s="30"/>
      <c r="L104" s="30"/>
      <c r="M104" s="30"/>
      <c r="N104" s="30"/>
      <c r="O104" s="30"/>
      <c r="P104" s="30"/>
      <c r="Q104" s="30"/>
      <c r="R104" s="30"/>
      <c r="S104" s="30"/>
      <c r="T104" s="30"/>
      <c r="U104" s="30"/>
      <c r="V104" s="30"/>
      <c r="W104" s="30"/>
      <c r="X104" s="30"/>
      <c r="Y104" s="30"/>
      <c r="Z104" s="30"/>
      <c r="AA104" s="30"/>
      <c r="AB104" s="30"/>
      <c r="AC104" s="30"/>
      <c r="AD104" s="30"/>
      <c r="AE104" s="30"/>
      <c r="AF104" s="30"/>
      <c r="AG104" s="30"/>
      <c r="AH104" s="30"/>
      <c r="AI104" s="30"/>
      <c r="AJ104" s="30"/>
      <c r="AK104" s="30"/>
      <c r="AL104" s="30"/>
      <c r="AM104" s="30"/>
    </row>
    <row r="105" spans="3:39">
      <c r="C105" s="31"/>
      <c r="D105" s="31"/>
      <c r="E105" s="31"/>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c r="AF105" s="30"/>
      <c r="AG105" s="30"/>
      <c r="AH105" s="30"/>
      <c r="AI105" s="30"/>
      <c r="AJ105" s="30"/>
      <c r="AK105" s="30"/>
      <c r="AL105" s="30"/>
      <c r="AM105" s="30"/>
    </row>
    <row r="106" spans="3:39">
      <c r="C106" s="31"/>
      <c r="D106" s="31"/>
      <c r="E106" s="31"/>
      <c r="F106" s="30"/>
      <c r="G106" s="30"/>
      <c r="H106" s="30"/>
      <c r="I106" s="30"/>
      <c r="J106" s="30"/>
      <c r="K106" s="30"/>
      <c r="L106" s="30"/>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row>
    <row r="107" spans="3:39">
      <c r="C107" s="31"/>
      <c r="D107" s="31"/>
      <c r="E107" s="31"/>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row>
    <row r="108" spans="3:39">
      <c r="C108" s="31"/>
      <c r="D108" s="31"/>
      <c r="E108" s="31"/>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c r="AH108" s="30"/>
      <c r="AI108" s="30"/>
      <c r="AJ108" s="30"/>
      <c r="AK108" s="30"/>
      <c r="AL108" s="30"/>
      <c r="AM108" s="30"/>
    </row>
    <row r="109" spans="3:39">
      <c r="C109" s="31"/>
      <c r="D109" s="31"/>
      <c r="E109" s="31"/>
      <c r="F109" s="30"/>
      <c r="G109" s="30"/>
      <c r="H109" s="30"/>
      <c r="I109" s="30"/>
      <c r="J109" s="30"/>
      <c r="K109" s="30"/>
      <c r="L109" s="30"/>
      <c r="M109" s="30"/>
      <c r="N109" s="30"/>
      <c r="O109" s="30"/>
      <c r="P109" s="30"/>
      <c r="Q109" s="30"/>
      <c r="R109" s="30"/>
      <c r="S109" s="30"/>
      <c r="T109" s="30"/>
      <c r="U109" s="30"/>
      <c r="V109" s="30"/>
      <c r="W109" s="30"/>
      <c r="X109" s="30"/>
      <c r="Y109" s="30"/>
      <c r="Z109" s="30"/>
      <c r="AA109" s="30"/>
      <c r="AB109" s="30"/>
      <c r="AC109" s="30"/>
      <c r="AD109" s="30"/>
      <c r="AE109" s="30"/>
      <c r="AF109" s="30"/>
      <c r="AG109" s="30"/>
      <c r="AH109" s="30"/>
      <c r="AI109" s="30"/>
      <c r="AJ109" s="30"/>
      <c r="AK109" s="30"/>
      <c r="AL109" s="30"/>
      <c r="AM109" s="30"/>
    </row>
    <row r="110" spans="3:39">
      <c r="C110" s="31"/>
      <c r="D110" s="31"/>
      <c r="E110" s="31"/>
      <c r="F110" s="30"/>
      <c r="G110" s="30"/>
      <c r="H110" s="30"/>
      <c r="I110" s="30"/>
      <c r="J110" s="30"/>
      <c r="K110" s="30"/>
      <c r="L110" s="30"/>
      <c r="M110" s="30"/>
      <c r="N110" s="30"/>
      <c r="O110" s="30"/>
      <c r="P110" s="30"/>
      <c r="Q110" s="30"/>
      <c r="R110" s="30"/>
      <c r="S110" s="30"/>
      <c r="T110" s="30"/>
      <c r="U110" s="30"/>
      <c r="V110" s="30"/>
      <c r="W110" s="30"/>
      <c r="X110" s="30"/>
      <c r="Y110" s="30"/>
      <c r="Z110" s="30"/>
      <c r="AA110" s="30"/>
      <c r="AB110" s="30"/>
      <c r="AC110" s="30"/>
      <c r="AD110" s="30"/>
      <c r="AE110" s="30"/>
      <c r="AF110" s="30"/>
      <c r="AG110" s="30"/>
      <c r="AH110" s="30"/>
      <c r="AI110" s="30"/>
      <c r="AJ110" s="30"/>
      <c r="AK110" s="30"/>
      <c r="AL110" s="30"/>
      <c r="AM110" s="30"/>
    </row>
    <row r="111" spans="3:39">
      <c r="C111" s="31"/>
      <c r="D111" s="31"/>
      <c r="E111" s="31"/>
      <c r="F111" s="30"/>
      <c r="G111" s="30"/>
      <c r="H111" s="30"/>
      <c r="I111" s="30"/>
      <c r="J111" s="30"/>
      <c r="K111" s="30"/>
      <c r="L111" s="30"/>
      <c r="M111" s="30"/>
      <c r="N111" s="30"/>
      <c r="O111" s="30"/>
      <c r="P111" s="30"/>
      <c r="Q111" s="30"/>
      <c r="R111" s="30"/>
      <c r="S111" s="30"/>
      <c r="T111" s="30"/>
      <c r="U111" s="30"/>
      <c r="V111" s="30"/>
      <c r="W111" s="30"/>
      <c r="X111" s="30"/>
      <c r="Y111" s="30"/>
      <c r="Z111" s="30"/>
      <c r="AA111" s="30"/>
      <c r="AB111" s="30"/>
      <c r="AC111" s="30"/>
      <c r="AD111" s="30"/>
      <c r="AE111" s="30"/>
      <c r="AF111" s="30"/>
      <c r="AG111" s="30"/>
      <c r="AH111" s="30"/>
      <c r="AI111" s="30"/>
      <c r="AJ111" s="30"/>
      <c r="AK111" s="30"/>
      <c r="AL111" s="30"/>
      <c r="AM111" s="30"/>
    </row>
    <row r="112" spans="3:39">
      <c r="C112" s="31"/>
      <c r="D112" s="31"/>
      <c r="E112" s="31"/>
      <c r="F112" s="30"/>
      <c r="G112" s="30"/>
      <c r="H112" s="30"/>
      <c r="I112" s="30"/>
      <c r="J112" s="30"/>
      <c r="K112" s="30"/>
      <c r="L112" s="30"/>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row>
    <row r="113" spans="3:39">
      <c r="C113" s="31"/>
      <c r="D113" s="31"/>
      <c r="E113" s="31"/>
      <c r="F113" s="30"/>
      <c r="G113" s="30"/>
      <c r="H113" s="30"/>
      <c r="I113" s="30"/>
      <c r="J113" s="30"/>
      <c r="K113" s="30"/>
      <c r="L113" s="30"/>
      <c r="M113" s="30"/>
      <c r="N113" s="30"/>
      <c r="O113" s="30"/>
      <c r="P113" s="30"/>
      <c r="Q113" s="30"/>
      <c r="R113" s="30"/>
      <c r="S113" s="30"/>
      <c r="T113" s="30"/>
      <c r="U113" s="30"/>
      <c r="V113" s="30"/>
      <c r="W113" s="30"/>
      <c r="X113" s="30"/>
      <c r="Y113" s="30"/>
      <c r="Z113" s="30"/>
      <c r="AA113" s="30"/>
      <c r="AB113" s="30"/>
      <c r="AC113" s="30"/>
      <c r="AD113" s="30"/>
      <c r="AE113" s="30"/>
      <c r="AF113" s="30"/>
      <c r="AG113" s="30"/>
      <c r="AH113" s="30"/>
      <c r="AI113" s="30"/>
      <c r="AJ113" s="30"/>
      <c r="AK113" s="30"/>
      <c r="AL113" s="30"/>
      <c r="AM113" s="30"/>
    </row>
    <row r="114" spans="3:39">
      <c r="C114" s="31"/>
      <c r="D114" s="31"/>
      <c r="E114" s="31"/>
      <c r="F114" s="30"/>
      <c r="G114" s="30"/>
      <c r="H114" s="30"/>
      <c r="I114" s="30"/>
      <c r="J114" s="30"/>
      <c r="K114" s="30"/>
      <c r="L114" s="30"/>
      <c r="M114" s="30"/>
      <c r="N114" s="30"/>
      <c r="O114" s="30"/>
      <c r="P114" s="30"/>
      <c r="Q114" s="30"/>
      <c r="R114" s="30"/>
      <c r="S114" s="30"/>
      <c r="T114" s="30"/>
      <c r="U114" s="30"/>
      <c r="V114" s="30"/>
      <c r="W114" s="30"/>
      <c r="X114" s="30"/>
      <c r="Y114" s="30"/>
      <c r="Z114" s="30"/>
      <c r="AA114" s="30"/>
      <c r="AB114" s="30"/>
      <c r="AC114" s="30"/>
      <c r="AD114" s="30"/>
      <c r="AE114" s="30"/>
      <c r="AF114" s="30"/>
      <c r="AG114" s="30"/>
      <c r="AH114" s="30"/>
      <c r="AI114" s="30"/>
      <c r="AJ114" s="30"/>
      <c r="AK114" s="30"/>
      <c r="AL114" s="30"/>
      <c r="AM114" s="30"/>
    </row>
    <row r="115" spans="3:39">
      <c r="C115" s="31"/>
      <c r="D115" s="31"/>
      <c r="E115" s="31"/>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c r="AF115" s="30"/>
      <c r="AG115" s="30"/>
      <c r="AH115" s="30"/>
      <c r="AI115" s="30"/>
      <c r="AJ115" s="30"/>
      <c r="AK115" s="30"/>
      <c r="AL115" s="30"/>
      <c r="AM115" s="30"/>
    </row>
    <row r="116" spans="3:39">
      <c r="C116" s="31"/>
      <c r="D116" s="31"/>
      <c r="E116" s="31"/>
      <c r="F116" s="30"/>
      <c r="G116" s="30"/>
      <c r="H116" s="30"/>
      <c r="I116" s="30"/>
      <c r="J116" s="30"/>
      <c r="K116" s="30"/>
      <c r="L116" s="30"/>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row>
    <row r="117" spans="3:39">
      <c r="C117" s="31"/>
      <c r="D117" s="31"/>
      <c r="E117" s="31"/>
      <c r="F117" s="30"/>
      <c r="G117" s="30"/>
      <c r="H117" s="30"/>
      <c r="I117" s="30"/>
      <c r="J117" s="30"/>
      <c r="K117" s="30"/>
      <c r="L117" s="30"/>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row>
    <row r="118" spans="3:39">
      <c r="C118" s="31"/>
      <c r="D118" s="31"/>
      <c r="E118" s="31"/>
      <c r="F118" s="30"/>
      <c r="G118" s="30"/>
      <c r="H118" s="30"/>
      <c r="I118" s="30"/>
      <c r="J118" s="30"/>
      <c r="K118" s="30"/>
      <c r="L118" s="30"/>
      <c r="M118" s="30"/>
      <c r="N118" s="30"/>
      <c r="O118" s="30"/>
      <c r="P118" s="30"/>
      <c r="Q118" s="30"/>
      <c r="R118" s="30"/>
      <c r="S118" s="30"/>
      <c r="T118" s="30"/>
      <c r="U118" s="30"/>
      <c r="V118" s="30"/>
      <c r="W118" s="30"/>
      <c r="X118" s="30"/>
      <c r="Y118" s="30"/>
      <c r="Z118" s="30"/>
      <c r="AA118" s="30"/>
      <c r="AB118" s="30"/>
      <c r="AC118" s="30"/>
      <c r="AD118" s="30"/>
      <c r="AE118" s="30"/>
      <c r="AF118" s="30"/>
      <c r="AG118" s="30"/>
      <c r="AH118" s="30"/>
      <c r="AI118" s="30"/>
      <c r="AJ118" s="30"/>
      <c r="AK118" s="30"/>
      <c r="AL118" s="30"/>
      <c r="AM118" s="30"/>
    </row>
    <row r="119" spans="3:39">
      <c r="C119" s="31"/>
      <c r="D119" s="31"/>
      <c r="E119" s="31"/>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row>
    <row r="120" spans="3:39">
      <c r="C120" s="31"/>
      <c r="D120" s="31"/>
      <c r="E120" s="31"/>
      <c r="F120" s="30"/>
      <c r="G120" s="30"/>
      <c r="H120" s="30"/>
      <c r="I120" s="30"/>
      <c r="J120" s="30"/>
      <c r="K120" s="30"/>
      <c r="L120" s="30"/>
      <c r="M120" s="30"/>
      <c r="N120" s="30"/>
      <c r="O120" s="30"/>
      <c r="P120" s="30"/>
      <c r="Q120" s="30"/>
      <c r="R120" s="30"/>
      <c r="S120" s="30"/>
      <c r="T120" s="30"/>
      <c r="U120" s="30"/>
      <c r="V120" s="30"/>
      <c r="W120" s="30"/>
      <c r="X120" s="30"/>
      <c r="Y120" s="30"/>
      <c r="Z120" s="30"/>
      <c r="AA120" s="30"/>
      <c r="AB120" s="30"/>
      <c r="AC120" s="30"/>
      <c r="AD120" s="30"/>
      <c r="AE120" s="30"/>
      <c r="AF120" s="30"/>
      <c r="AG120" s="30"/>
      <c r="AH120" s="30"/>
      <c r="AI120" s="30"/>
      <c r="AJ120" s="30"/>
      <c r="AK120" s="30"/>
      <c r="AL120" s="30"/>
      <c r="AM120" s="30"/>
    </row>
    <row r="121" spans="3:39">
      <c r="C121" s="31"/>
      <c r="D121" s="31"/>
      <c r="E121" s="31"/>
      <c r="F121" s="30"/>
      <c r="G121" s="30"/>
      <c r="H121" s="30"/>
      <c r="I121" s="30"/>
      <c r="J121" s="30"/>
      <c r="K121" s="30"/>
      <c r="L121" s="30"/>
      <c r="M121" s="30"/>
      <c r="N121" s="30"/>
      <c r="O121" s="30"/>
      <c r="P121" s="30"/>
      <c r="Q121" s="30"/>
      <c r="R121" s="30"/>
      <c r="S121" s="30"/>
      <c r="T121" s="30"/>
      <c r="U121" s="30"/>
      <c r="V121" s="30"/>
      <c r="W121" s="30"/>
      <c r="X121" s="30"/>
      <c r="Y121" s="30"/>
      <c r="Z121" s="30"/>
      <c r="AA121" s="30"/>
      <c r="AB121" s="30"/>
      <c r="AC121" s="30"/>
      <c r="AD121" s="30"/>
      <c r="AE121" s="30"/>
      <c r="AF121" s="30"/>
      <c r="AG121" s="30"/>
      <c r="AH121" s="30"/>
      <c r="AI121" s="30"/>
      <c r="AJ121" s="30"/>
      <c r="AK121" s="30"/>
      <c r="AL121" s="30"/>
      <c r="AM121" s="30"/>
    </row>
    <row r="122" spans="3:39">
      <c r="C122" s="31"/>
      <c r="D122" s="31"/>
      <c r="E122" s="31"/>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row>
    <row r="123" spans="3:39">
      <c r="C123" s="31"/>
      <c r="D123" s="31"/>
      <c r="E123" s="31"/>
      <c r="F123" s="30"/>
      <c r="G123" s="30"/>
      <c r="H123" s="30"/>
      <c r="I123" s="30"/>
      <c r="J123" s="30"/>
      <c r="K123" s="30"/>
      <c r="L123" s="30"/>
      <c r="M123" s="30"/>
      <c r="N123" s="30"/>
      <c r="O123" s="30"/>
      <c r="P123" s="30"/>
      <c r="Q123" s="30"/>
      <c r="R123" s="30"/>
      <c r="S123" s="30"/>
      <c r="T123" s="30"/>
      <c r="U123" s="30"/>
      <c r="V123" s="30"/>
      <c r="W123" s="30"/>
      <c r="X123" s="30"/>
      <c r="Y123" s="30"/>
      <c r="Z123" s="30"/>
      <c r="AA123" s="30"/>
      <c r="AB123" s="30"/>
      <c r="AC123" s="30"/>
      <c r="AD123" s="30"/>
      <c r="AE123" s="30"/>
      <c r="AF123" s="30"/>
      <c r="AG123" s="30"/>
      <c r="AH123" s="30"/>
      <c r="AI123" s="30"/>
      <c r="AJ123" s="30"/>
      <c r="AK123" s="30"/>
      <c r="AL123" s="30"/>
      <c r="AM123" s="30"/>
    </row>
    <row r="124" spans="3:39">
      <c r="C124" s="31"/>
      <c r="D124" s="31"/>
      <c r="E124" s="31"/>
      <c r="F124" s="30"/>
      <c r="G124" s="30"/>
      <c r="H124" s="30"/>
      <c r="I124" s="30"/>
      <c r="J124" s="30"/>
      <c r="K124" s="30"/>
      <c r="L124" s="30"/>
      <c r="M124" s="30"/>
      <c r="N124" s="30"/>
      <c r="O124" s="30"/>
      <c r="P124" s="30"/>
      <c r="Q124" s="30"/>
      <c r="R124" s="30"/>
      <c r="S124" s="30"/>
      <c r="T124" s="30"/>
      <c r="U124" s="30"/>
      <c r="V124" s="30"/>
      <c r="W124" s="30"/>
      <c r="X124" s="30"/>
      <c r="Y124" s="30"/>
      <c r="Z124" s="30"/>
      <c r="AA124" s="30"/>
      <c r="AB124" s="30"/>
      <c r="AC124" s="30"/>
      <c r="AD124" s="30"/>
      <c r="AE124" s="30"/>
      <c r="AF124" s="30"/>
      <c r="AG124" s="30"/>
      <c r="AH124" s="30"/>
      <c r="AI124" s="30"/>
      <c r="AJ124" s="30"/>
      <c r="AK124" s="30"/>
      <c r="AL124" s="30"/>
      <c r="AM124" s="30"/>
    </row>
    <row r="125" spans="3:39">
      <c r="C125" s="31"/>
      <c r="D125" s="31"/>
      <c r="E125" s="31"/>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c r="AF125" s="30"/>
      <c r="AG125" s="30"/>
      <c r="AH125" s="30"/>
      <c r="AI125" s="30"/>
      <c r="AJ125" s="30"/>
      <c r="AK125" s="30"/>
      <c r="AL125" s="30"/>
      <c r="AM125" s="30"/>
    </row>
    <row r="126" spans="3:39">
      <c r="C126" s="31"/>
      <c r="D126" s="31"/>
      <c r="E126" s="31"/>
      <c r="F126" s="30"/>
      <c r="G126" s="30"/>
      <c r="H126" s="30"/>
      <c r="I126" s="30"/>
      <c r="J126" s="30"/>
      <c r="K126" s="30"/>
      <c r="L126" s="30"/>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row>
    <row r="127" spans="3:39">
      <c r="C127" s="31"/>
      <c r="D127" s="31"/>
      <c r="E127" s="31"/>
      <c r="F127" s="30"/>
      <c r="G127" s="30"/>
      <c r="H127" s="30"/>
      <c r="I127" s="30"/>
      <c r="J127" s="30"/>
      <c r="K127" s="30"/>
      <c r="L127" s="30"/>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row>
    <row r="128" spans="3:39">
      <c r="C128" s="31"/>
      <c r="D128" s="31"/>
      <c r="E128" s="31"/>
      <c r="F128" s="30"/>
      <c r="G128" s="30"/>
      <c r="H128" s="30"/>
      <c r="I128" s="30"/>
      <c r="J128" s="30"/>
      <c r="K128" s="30"/>
      <c r="L128" s="30"/>
      <c r="M128" s="30"/>
      <c r="N128" s="30"/>
      <c r="O128" s="30"/>
      <c r="P128" s="30"/>
      <c r="Q128" s="30"/>
      <c r="R128" s="30"/>
      <c r="S128" s="30"/>
      <c r="T128" s="30"/>
      <c r="U128" s="30"/>
      <c r="V128" s="30"/>
      <c r="W128" s="30"/>
      <c r="X128" s="30"/>
      <c r="Y128" s="30"/>
      <c r="Z128" s="30"/>
      <c r="AA128" s="30"/>
      <c r="AB128" s="30"/>
      <c r="AC128" s="30"/>
      <c r="AD128" s="30"/>
      <c r="AE128" s="30"/>
      <c r="AF128" s="30"/>
      <c r="AG128" s="30"/>
      <c r="AH128" s="30"/>
      <c r="AI128" s="30"/>
      <c r="AJ128" s="30"/>
      <c r="AK128" s="30"/>
      <c r="AL128" s="30"/>
      <c r="AM128" s="30"/>
    </row>
    <row r="129" spans="3:39">
      <c r="C129" s="31"/>
      <c r="D129" s="31"/>
      <c r="E129" s="31"/>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c r="AF129" s="30"/>
      <c r="AG129" s="30"/>
      <c r="AH129" s="30"/>
      <c r="AI129" s="30"/>
      <c r="AJ129" s="30"/>
      <c r="AK129" s="30"/>
      <c r="AL129" s="30"/>
      <c r="AM129" s="30"/>
    </row>
    <row r="130" spans="3:39">
      <c r="C130" s="31"/>
      <c r="D130" s="31"/>
      <c r="E130" s="31"/>
      <c r="F130" s="30"/>
      <c r="G130" s="30"/>
      <c r="H130" s="30"/>
      <c r="I130" s="30"/>
      <c r="J130" s="30"/>
      <c r="K130" s="30"/>
      <c r="L130" s="30"/>
      <c r="M130" s="30"/>
      <c r="N130" s="30"/>
      <c r="O130" s="30"/>
      <c r="P130" s="30"/>
      <c r="Q130" s="30"/>
      <c r="R130" s="30"/>
      <c r="S130" s="30"/>
      <c r="T130" s="30"/>
      <c r="U130" s="30"/>
      <c r="V130" s="30"/>
      <c r="W130" s="30"/>
      <c r="X130" s="30"/>
      <c r="Y130" s="30"/>
      <c r="Z130" s="30"/>
      <c r="AA130" s="30"/>
      <c r="AB130" s="30"/>
      <c r="AC130" s="30"/>
      <c r="AD130" s="30"/>
      <c r="AE130" s="30"/>
      <c r="AF130" s="30"/>
      <c r="AG130" s="30"/>
      <c r="AH130" s="30"/>
      <c r="AI130" s="30"/>
      <c r="AJ130" s="30"/>
      <c r="AK130" s="30"/>
      <c r="AL130" s="30"/>
      <c r="AM130" s="30"/>
    </row>
    <row r="131" spans="3:39">
      <c r="C131" s="31"/>
      <c r="D131" s="31"/>
      <c r="E131" s="31"/>
      <c r="F131" s="30"/>
      <c r="G131" s="30"/>
      <c r="H131" s="30"/>
      <c r="I131" s="30"/>
      <c r="J131" s="30"/>
      <c r="K131" s="30"/>
      <c r="L131" s="30"/>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row>
    <row r="132" spans="3:39">
      <c r="C132" s="31"/>
      <c r="D132" s="31"/>
      <c r="E132" s="31"/>
      <c r="F132" s="30"/>
      <c r="G132" s="30"/>
      <c r="H132" s="30"/>
      <c r="I132" s="30"/>
      <c r="J132" s="30"/>
      <c r="K132" s="30"/>
      <c r="L132" s="30"/>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row>
    <row r="133" spans="3:39">
      <c r="C133" s="31"/>
      <c r="D133" s="31"/>
      <c r="E133" s="31"/>
      <c r="F133" s="30"/>
      <c r="G133" s="30"/>
      <c r="H133" s="30"/>
      <c r="I133" s="30"/>
      <c r="J133" s="30"/>
      <c r="K133" s="30"/>
      <c r="L133" s="30"/>
      <c r="M133" s="30"/>
      <c r="N133" s="30"/>
      <c r="O133" s="30"/>
      <c r="P133" s="30"/>
      <c r="Q133" s="30"/>
      <c r="R133" s="30"/>
      <c r="S133" s="30"/>
      <c r="T133" s="30"/>
      <c r="U133" s="30"/>
      <c r="V133" s="30"/>
      <c r="W133" s="30"/>
      <c r="X133" s="30"/>
      <c r="Y133" s="30"/>
      <c r="Z133" s="30"/>
      <c r="AA133" s="30"/>
      <c r="AB133" s="30"/>
      <c r="AC133" s="30"/>
      <c r="AD133" s="30"/>
      <c r="AE133" s="30"/>
      <c r="AF133" s="30"/>
      <c r="AG133" s="30"/>
      <c r="AH133" s="30"/>
      <c r="AI133" s="30"/>
      <c r="AJ133" s="30"/>
      <c r="AK133" s="30"/>
      <c r="AL133" s="30"/>
      <c r="AM133" s="30"/>
    </row>
    <row r="134" spans="3:39">
      <c r="C134" s="31"/>
      <c r="D134" s="31"/>
      <c r="E134" s="31"/>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row>
    <row r="135" spans="3:39">
      <c r="C135" s="31"/>
      <c r="D135" s="31"/>
      <c r="E135" s="31"/>
      <c r="F135" s="30"/>
      <c r="G135" s="30"/>
      <c r="H135" s="30"/>
      <c r="I135" s="30"/>
      <c r="J135" s="30"/>
      <c r="K135" s="30"/>
      <c r="L135" s="30"/>
      <c r="M135" s="30"/>
      <c r="N135" s="30"/>
      <c r="O135" s="30"/>
      <c r="P135" s="30"/>
      <c r="Q135" s="30"/>
      <c r="R135" s="30"/>
      <c r="S135" s="30"/>
      <c r="T135" s="30"/>
      <c r="U135" s="30"/>
      <c r="V135" s="30"/>
      <c r="W135" s="30"/>
      <c r="X135" s="30"/>
      <c r="Y135" s="30"/>
      <c r="Z135" s="30"/>
      <c r="AA135" s="30"/>
      <c r="AB135" s="30"/>
      <c r="AC135" s="30"/>
      <c r="AD135" s="30"/>
      <c r="AE135" s="30"/>
      <c r="AF135" s="30"/>
      <c r="AG135" s="30"/>
      <c r="AH135" s="30"/>
      <c r="AI135" s="30"/>
      <c r="AJ135" s="30"/>
      <c r="AK135" s="30"/>
      <c r="AL135" s="30"/>
      <c r="AM135" s="30"/>
    </row>
    <row r="136" spans="3:39">
      <c r="C136" s="31"/>
      <c r="D136" s="31"/>
      <c r="E136" s="31"/>
      <c r="F136" s="30"/>
      <c r="G136" s="30"/>
      <c r="H136" s="30"/>
      <c r="I136" s="30"/>
      <c r="J136" s="30"/>
      <c r="K136" s="30"/>
      <c r="L136" s="30"/>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row>
    <row r="137" spans="3:39">
      <c r="C137" s="31"/>
      <c r="D137" s="31"/>
      <c r="E137" s="31"/>
      <c r="F137" s="30"/>
      <c r="G137" s="30"/>
      <c r="H137" s="30"/>
      <c r="I137" s="30"/>
      <c r="J137" s="30"/>
      <c r="K137" s="30"/>
      <c r="L137" s="30"/>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row>
    <row r="138" spans="3:39">
      <c r="C138" s="31"/>
      <c r="D138" s="31"/>
      <c r="E138" s="31"/>
      <c r="F138" s="30"/>
      <c r="G138" s="30"/>
      <c r="H138" s="30"/>
      <c r="I138" s="30"/>
      <c r="J138" s="30"/>
      <c r="K138" s="30"/>
      <c r="L138" s="30"/>
      <c r="M138" s="30"/>
      <c r="N138" s="30"/>
      <c r="O138" s="30"/>
      <c r="P138" s="30"/>
      <c r="Q138" s="30"/>
      <c r="R138" s="30"/>
      <c r="S138" s="30"/>
      <c r="T138" s="30"/>
      <c r="U138" s="30"/>
      <c r="V138" s="30"/>
      <c r="W138" s="30"/>
      <c r="X138" s="30"/>
      <c r="Y138" s="30"/>
      <c r="Z138" s="30"/>
      <c r="AA138" s="30"/>
      <c r="AB138" s="30"/>
      <c r="AC138" s="30"/>
      <c r="AD138" s="30"/>
      <c r="AE138" s="30"/>
      <c r="AF138" s="30"/>
      <c r="AG138" s="30"/>
      <c r="AH138" s="30"/>
      <c r="AI138" s="30"/>
      <c r="AJ138" s="30"/>
      <c r="AK138" s="30"/>
      <c r="AL138" s="30"/>
      <c r="AM138" s="30"/>
    </row>
    <row r="139" spans="3:39">
      <c r="C139" s="31"/>
      <c r="D139" s="31"/>
      <c r="E139" s="31"/>
      <c r="F139" s="30"/>
      <c r="G139" s="30"/>
      <c r="H139" s="30"/>
      <c r="I139" s="30"/>
      <c r="J139" s="30"/>
      <c r="K139" s="30"/>
      <c r="L139" s="30"/>
      <c r="M139" s="30"/>
      <c r="N139" s="30"/>
      <c r="O139" s="30"/>
      <c r="P139" s="30"/>
      <c r="Q139" s="30"/>
      <c r="R139" s="30"/>
      <c r="S139" s="30"/>
      <c r="T139" s="30"/>
      <c r="U139" s="30"/>
      <c r="V139" s="30"/>
      <c r="W139" s="30"/>
      <c r="X139" s="30"/>
      <c r="Y139" s="30"/>
      <c r="Z139" s="30"/>
      <c r="AA139" s="30"/>
      <c r="AB139" s="30"/>
      <c r="AC139" s="30"/>
      <c r="AD139" s="30"/>
      <c r="AE139" s="30"/>
      <c r="AF139" s="30"/>
      <c r="AG139" s="30"/>
      <c r="AH139" s="30"/>
      <c r="AI139" s="30"/>
      <c r="AJ139" s="30"/>
      <c r="AK139" s="30"/>
      <c r="AL139" s="30"/>
      <c r="AM139" s="30"/>
    </row>
    <row r="140" spans="3:39">
      <c r="C140" s="31"/>
      <c r="D140" s="31"/>
      <c r="E140" s="31"/>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row>
    <row r="141" spans="3:39">
      <c r="C141" s="31"/>
      <c r="D141" s="31"/>
      <c r="E141" s="31"/>
      <c r="F141" s="30"/>
      <c r="G141" s="30"/>
      <c r="H141" s="30"/>
      <c r="I141" s="30"/>
      <c r="J141" s="30"/>
      <c r="K141" s="30"/>
      <c r="L141" s="30"/>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row>
    <row r="142" spans="3:39">
      <c r="C142" s="31"/>
      <c r="D142" s="31"/>
      <c r="E142" s="31"/>
      <c r="F142" s="30"/>
      <c r="G142" s="30"/>
      <c r="H142" s="30"/>
      <c r="I142" s="30"/>
      <c r="J142" s="30"/>
      <c r="K142" s="30"/>
      <c r="L142" s="30"/>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row>
    <row r="143" spans="3:39">
      <c r="C143" s="31"/>
      <c r="D143" s="31"/>
      <c r="E143" s="31"/>
      <c r="F143" s="30"/>
      <c r="G143" s="30"/>
      <c r="H143" s="30"/>
      <c r="I143" s="30"/>
      <c r="J143" s="30"/>
      <c r="K143" s="30"/>
      <c r="L143" s="30"/>
      <c r="M143" s="30"/>
      <c r="N143" s="30"/>
      <c r="O143" s="30"/>
      <c r="P143" s="30"/>
      <c r="Q143" s="30"/>
      <c r="R143" s="30"/>
      <c r="S143" s="30"/>
      <c r="T143" s="30"/>
      <c r="U143" s="30"/>
      <c r="V143" s="30"/>
      <c r="W143" s="30"/>
      <c r="X143" s="30"/>
      <c r="Y143" s="30"/>
      <c r="Z143" s="30"/>
      <c r="AA143" s="30"/>
      <c r="AB143" s="30"/>
      <c r="AC143" s="30"/>
      <c r="AD143" s="30"/>
      <c r="AE143" s="30"/>
      <c r="AF143" s="30"/>
      <c r="AG143" s="30"/>
      <c r="AH143" s="30"/>
      <c r="AI143" s="30"/>
      <c r="AJ143" s="30"/>
      <c r="AK143" s="30"/>
      <c r="AL143" s="30"/>
      <c r="AM143" s="30"/>
    </row>
    <row r="144" spans="3:39">
      <c r="C144" s="31"/>
      <c r="D144" s="31"/>
      <c r="E144" s="31"/>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c r="AF144" s="30"/>
      <c r="AG144" s="30"/>
      <c r="AH144" s="30"/>
      <c r="AI144" s="30"/>
      <c r="AJ144" s="30"/>
      <c r="AK144" s="30"/>
      <c r="AL144" s="30"/>
      <c r="AM144" s="30"/>
    </row>
    <row r="145" spans="3:39">
      <c r="C145" s="31"/>
      <c r="D145" s="31"/>
      <c r="E145" s="31"/>
      <c r="F145" s="30"/>
      <c r="G145" s="30"/>
      <c r="H145" s="30"/>
      <c r="I145" s="30"/>
      <c r="J145" s="30"/>
      <c r="K145" s="30"/>
      <c r="L145" s="30"/>
      <c r="M145" s="30"/>
      <c r="N145" s="30"/>
      <c r="O145" s="30"/>
      <c r="P145" s="30"/>
      <c r="Q145" s="30"/>
      <c r="R145" s="30"/>
      <c r="S145" s="30"/>
      <c r="T145" s="30"/>
      <c r="U145" s="30"/>
      <c r="V145" s="30"/>
      <c r="W145" s="30"/>
      <c r="X145" s="30"/>
      <c r="Y145" s="30"/>
      <c r="Z145" s="30"/>
      <c r="AA145" s="30"/>
      <c r="AB145" s="30"/>
      <c r="AC145" s="30"/>
      <c r="AD145" s="30"/>
      <c r="AE145" s="30"/>
      <c r="AF145" s="30"/>
      <c r="AG145" s="30"/>
      <c r="AH145" s="30"/>
      <c r="AI145" s="30"/>
      <c r="AJ145" s="30"/>
      <c r="AK145" s="30"/>
      <c r="AL145" s="30"/>
      <c r="AM145" s="30"/>
    </row>
    <row r="146" spans="3:39">
      <c r="C146" s="31"/>
      <c r="D146" s="31"/>
      <c r="E146" s="31"/>
      <c r="F146" s="30"/>
      <c r="G146" s="30"/>
      <c r="H146" s="30"/>
      <c r="I146" s="30"/>
      <c r="J146" s="30"/>
      <c r="K146" s="30"/>
      <c r="L146" s="30"/>
      <c r="M146" s="30"/>
      <c r="N146" s="30"/>
      <c r="O146" s="30"/>
      <c r="P146" s="30"/>
      <c r="Q146" s="30"/>
      <c r="R146" s="30"/>
      <c r="S146" s="30"/>
      <c r="T146" s="30"/>
      <c r="U146" s="30"/>
      <c r="V146" s="30"/>
      <c r="W146" s="30"/>
      <c r="X146" s="30"/>
      <c r="Y146" s="30"/>
      <c r="Z146" s="30"/>
      <c r="AA146" s="30"/>
      <c r="AB146" s="30"/>
      <c r="AC146" s="30"/>
      <c r="AD146" s="30"/>
      <c r="AE146" s="30"/>
      <c r="AF146" s="30"/>
      <c r="AG146" s="30"/>
      <c r="AH146" s="30"/>
      <c r="AI146" s="30"/>
      <c r="AJ146" s="30"/>
      <c r="AK146" s="30"/>
      <c r="AL146" s="30"/>
      <c r="AM146" s="30"/>
    </row>
    <row r="147" spans="3:39">
      <c r="C147" s="31"/>
      <c r="D147" s="31"/>
      <c r="E147" s="31"/>
      <c r="F147" s="30"/>
      <c r="G147" s="30"/>
      <c r="H147" s="30"/>
      <c r="I147" s="30"/>
      <c r="J147" s="30"/>
      <c r="K147" s="30"/>
      <c r="L147" s="30"/>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row>
    <row r="148" spans="3:39">
      <c r="C148" s="31"/>
      <c r="D148" s="31"/>
      <c r="E148" s="31"/>
      <c r="F148" s="30"/>
      <c r="G148" s="30"/>
      <c r="H148" s="30"/>
      <c r="I148" s="30"/>
      <c r="J148" s="30"/>
      <c r="K148" s="30"/>
      <c r="L148" s="30"/>
      <c r="M148" s="30"/>
      <c r="N148" s="30"/>
      <c r="O148" s="30"/>
      <c r="P148" s="30"/>
      <c r="Q148" s="30"/>
      <c r="R148" s="30"/>
      <c r="S148" s="30"/>
      <c r="T148" s="30"/>
      <c r="U148" s="30"/>
      <c r="V148" s="30"/>
      <c r="W148" s="30"/>
      <c r="X148" s="30"/>
      <c r="Y148" s="30"/>
      <c r="Z148" s="30"/>
      <c r="AA148" s="30"/>
      <c r="AB148" s="30"/>
      <c r="AC148" s="30"/>
      <c r="AD148" s="30"/>
      <c r="AE148" s="30"/>
      <c r="AF148" s="30"/>
      <c r="AG148" s="30"/>
      <c r="AH148" s="30"/>
      <c r="AI148" s="30"/>
      <c r="AJ148" s="30"/>
      <c r="AK148" s="30"/>
      <c r="AL148" s="30"/>
      <c r="AM148" s="30"/>
    </row>
    <row r="149" spans="3:39">
      <c r="C149" s="31"/>
      <c r="D149" s="31"/>
      <c r="E149" s="31"/>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row>
    <row r="150" spans="3:39">
      <c r="C150" s="31"/>
      <c r="D150" s="31"/>
      <c r="E150" s="31"/>
      <c r="F150" s="30"/>
      <c r="G150" s="30"/>
      <c r="H150" s="30"/>
      <c r="I150" s="30"/>
      <c r="J150" s="30"/>
      <c r="K150" s="30"/>
      <c r="L150" s="30"/>
      <c r="M150" s="30"/>
      <c r="N150" s="30"/>
      <c r="O150" s="30"/>
      <c r="P150" s="30"/>
      <c r="Q150" s="30"/>
      <c r="R150" s="30"/>
      <c r="S150" s="30"/>
      <c r="T150" s="30"/>
      <c r="U150" s="30"/>
      <c r="V150" s="30"/>
      <c r="W150" s="30"/>
      <c r="X150" s="30"/>
      <c r="Y150" s="30"/>
      <c r="Z150" s="30"/>
      <c r="AA150" s="30"/>
      <c r="AB150" s="30"/>
      <c r="AC150" s="30"/>
      <c r="AD150" s="30"/>
      <c r="AE150" s="30"/>
      <c r="AF150" s="30"/>
      <c r="AG150" s="30"/>
      <c r="AH150" s="30"/>
      <c r="AI150" s="30"/>
      <c r="AJ150" s="30"/>
      <c r="AK150" s="30"/>
      <c r="AL150" s="30"/>
      <c r="AM150" s="30"/>
    </row>
    <row r="151" spans="3:39">
      <c r="C151" s="31"/>
      <c r="D151" s="31"/>
      <c r="E151" s="31"/>
      <c r="F151" s="30"/>
      <c r="G151" s="30"/>
      <c r="H151" s="30"/>
      <c r="I151" s="30"/>
      <c r="J151" s="30"/>
      <c r="K151" s="30"/>
      <c r="L151" s="30"/>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row>
    <row r="152" spans="3:39">
      <c r="C152" s="31"/>
      <c r="D152" s="31"/>
      <c r="E152" s="31"/>
      <c r="F152" s="30"/>
      <c r="G152" s="30"/>
      <c r="H152" s="30"/>
      <c r="I152" s="30"/>
      <c r="J152" s="30"/>
      <c r="K152" s="30"/>
      <c r="L152" s="30"/>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row>
    <row r="153" spans="3:39">
      <c r="C153" s="31"/>
      <c r="D153" s="31"/>
      <c r="E153" s="31"/>
      <c r="F153" s="30"/>
      <c r="G153" s="30"/>
      <c r="H153" s="30"/>
      <c r="I153" s="30"/>
      <c r="J153" s="30"/>
      <c r="K153" s="30"/>
      <c r="L153" s="30"/>
      <c r="M153" s="30"/>
      <c r="N153" s="30"/>
      <c r="O153" s="30"/>
      <c r="P153" s="30"/>
      <c r="Q153" s="30"/>
      <c r="R153" s="30"/>
      <c r="S153" s="30"/>
      <c r="T153" s="30"/>
      <c r="U153" s="30"/>
      <c r="V153" s="30"/>
      <c r="W153" s="30"/>
      <c r="X153" s="30"/>
      <c r="Y153" s="30"/>
      <c r="Z153" s="30"/>
      <c r="AA153" s="30"/>
      <c r="AB153" s="30"/>
      <c r="AC153" s="30"/>
      <c r="AD153" s="30"/>
      <c r="AE153" s="30"/>
      <c r="AF153" s="30"/>
      <c r="AG153" s="30"/>
      <c r="AH153" s="30"/>
      <c r="AI153" s="30"/>
      <c r="AJ153" s="30"/>
      <c r="AK153" s="30"/>
      <c r="AL153" s="30"/>
      <c r="AM153" s="30"/>
    </row>
    <row r="154" spans="3:39">
      <c r="C154" s="31"/>
      <c r="D154" s="31"/>
      <c r="E154" s="31"/>
      <c r="F154" s="30"/>
      <c r="G154" s="30"/>
      <c r="H154" s="30"/>
      <c r="I154" s="30"/>
      <c r="J154" s="30"/>
      <c r="K154" s="30"/>
      <c r="L154" s="30"/>
      <c r="M154" s="30"/>
      <c r="N154" s="30"/>
      <c r="O154" s="30"/>
      <c r="P154" s="30"/>
      <c r="Q154" s="30"/>
      <c r="R154" s="30"/>
      <c r="S154" s="30"/>
      <c r="T154" s="30"/>
      <c r="U154" s="30"/>
      <c r="V154" s="30"/>
      <c r="W154" s="30"/>
      <c r="X154" s="30"/>
      <c r="Y154" s="30"/>
      <c r="Z154" s="30"/>
      <c r="AA154" s="30"/>
      <c r="AB154" s="30"/>
      <c r="AC154" s="30"/>
      <c r="AD154" s="30"/>
      <c r="AE154" s="30"/>
      <c r="AF154" s="30"/>
      <c r="AG154" s="30"/>
      <c r="AH154" s="30"/>
      <c r="AI154" s="30"/>
      <c r="AJ154" s="30"/>
      <c r="AK154" s="30"/>
      <c r="AL154" s="30"/>
      <c r="AM154" s="30"/>
    </row>
    <row r="155" spans="3:39">
      <c r="C155" s="31"/>
      <c r="D155" s="31"/>
      <c r="E155" s="31"/>
      <c r="F155" s="30"/>
      <c r="G155" s="30"/>
      <c r="H155" s="30"/>
      <c r="I155" s="30"/>
      <c r="J155" s="30"/>
      <c r="K155" s="30"/>
      <c r="L155" s="30"/>
      <c r="M155" s="30"/>
      <c r="N155" s="30"/>
      <c r="O155" s="30"/>
      <c r="P155" s="30"/>
      <c r="Q155" s="30"/>
      <c r="R155" s="30"/>
      <c r="S155" s="30"/>
      <c r="T155" s="30"/>
      <c r="U155" s="30"/>
      <c r="V155" s="30"/>
      <c r="W155" s="30"/>
      <c r="X155" s="30"/>
      <c r="Y155" s="30"/>
      <c r="Z155" s="30"/>
      <c r="AA155" s="30"/>
      <c r="AB155" s="30"/>
      <c r="AC155" s="30"/>
      <c r="AD155" s="30"/>
      <c r="AE155" s="30"/>
      <c r="AF155" s="30"/>
      <c r="AG155" s="30"/>
      <c r="AH155" s="30"/>
      <c r="AI155" s="30"/>
      <c r="AJ155" s="30"/>
      <c r="AK155" s="30"/>
      <c r="AL155" s="30"/>
      <c r="AM155" s="30"/>
    </row>
    <row r="156" spans="3:39">
      <c r="C156" s="31"/>
      <c r="D156" s="31"/>
      <c r="E156" s="31"/>
      <c r="F156" s="30"/>
      <c r="G156" s="30"/>
      <c r="H156" s="30"/>
      <c r="I156" s="30"/>
      <c r="J156" s="30"/>
      <c r="K156" s="30"/>
      <c r="L156" s="30"/>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row>
    <row r="157" spans="3:39">
      <c r="C157" s="31"/>
      <c r="D157" s="31"/>
      <c r="E157" s="31"/>
      <c r="F157" s="30"/>
      <c r="G157" s="30"/>
      <c r="H157" s="30"/>
      <c r="I157" s="30"/>
      <c r="J157" s="30"/>
      <c r="K157" s="30"/>
      <c r="L157" s="30"/>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row>
    <row r="158" spans="3:39">
      <c r="C158" s="31"/>
      <c r="D158" s="31"/>
      <c r="E158" s="31"/>
      <c r="F158" s="30"/>
      <c r="G158" s="30"/>
      <c r="H158" s="30"/>
      <c r="I158" s="30"/>
      <c r="J158" s="30"/>
      <c r="K158" s="30"/>
      <c r="L158" s="30"/>
      <c r="M158" s="30"/>
      <c r="N158" s="30"/>
      <c r="O158" s="30"/>
      <c r="P158" s="30"/>
      <c r="Q158" s="30"/>
      <c r="R158" s="30"/>
      <c r="S158" s="30"/>
      <c r="T158" s="30"/>
      <c r="U158" s="30"/>
      <c r="V158" s="30"/>
      <c r="W158" s="30"/>
      <c r="X158" s="30"/>
      <c r="Y158" s="30"/>
      <c r="Z158" s="30"/>
      <c r="AA158" s="30"/>
      <c r="AB158" s="30"/>
      <c r="AC158" s="30"/>
      <c r="AD158" s="30"/>
      <c r="AE158" s="30"/>
      <c r="AF158" s="30"/>
      <c r="AG158" s="30"/>
      <c r="AH158" s="30"/>
      <c r="AI158" s="30"/>
      <c r="AJ158" s="30"/>
      <c r="AK158" s="30"/>
      <c r="AL158" s="30"/>
      <c r="AM158" s="30"/>
    </row>
    <row r="159" spans="3:39">
      <c r="C159" s="31"/>
      <c r="D159" s="31"/>
      <c r="E159" s="31"/>
      <c r="F159" s="30"/>
      <c r="G159" s="30"/>
      <c r="H159" s="30"/>
      <c r="I159" s="30"/>
      <c r="J159" s="30"/>
      <c r="K159" s="30"/>
      <c r="L159" s="30"/>
      <c r="M159" s="30"/>
      <c r="N159" s="30"/>
      <c r="O159" s="30"/>
      <c r="P159" s="30"/>
      <c r="Q159" s="30"/>
      <c r="R159" s="30"/>
      <c r="S159" s="30"/>
      <c r="T159" s="30"/>
      <c r="U159" s="30"/>
      <c r="V159" s="30"/>
      <c r="W159" s="30"/>
      <c r="X159" s="30"/>
      <c r="Y159" s="30"/>
      <c r="Z159" s="30"/>
      <c r="AA159" s="30"/>
      <c r="AB159" s="30"/>
      <c r="AC159" s="30"/>
      <c r="AD159" s="30"/>
      <c r="AE159" s="30"/>
      <c r="AF159" s="30"/>
      <c r="AG159" s="30"/>
      <c r="AH159" s="30"/>
      <c r="AI159" s="30"/>
      <c r="AJ159" s="30"/>
      <c r="AK159" s="30"/>
      <c r="AL159" s="30"/>
      <c r="AM159" s="30"/>
    </row>
    <row r="160" spans="3:39">
      <c r="C160" s="31"/>
      <c r="D160" s="31"/>
      <c r="E160" s="31"/>
      <c r="F160" s="30"/>
      <c r="G160" s="30"/>
      <c r="H160" s="30"/>
      <c r="I160" s="30"/>
      <c r="J160" s="30"/>
      <c r="K160" s="30"/>
      <c r="L160" s="30"/>
      <c r="M160" s="30"/>
      <c r="N160" s="30"/>
      <c r="O160" s="30"/>
      <c r="P160" s="30"/>
      <c r="Q160" s="30"/>
      <c r="R160" s="30"/>
      <c r="S160" s="30"/>
      <c r="T160" s="30"/>
      <c r="U160" s="30"/>
      <c r="V160" s="30"/>
      <c r="W160" s="30"/>
      <c r="X160" s="30"/>
      <c r="Y160" s="30"/>
      <c r="Z160" s="30"/>
      <c r="AA160" s="30"/>
      <c r="AB160" s="30"/>
      <c r="AC160" s="30"/>
      <c r="AD160" s="30"/>
      <c r="AE160" s="30"/>
      <c r="AF160" s="30"/>
      <c r="AG160" s="30"/>
      <c r="AH160" s="30"/>
      <c r="AI160" s="30"/>
      <c r="AJ160" s="30"/>
      <c r="AK160" s="30"/>
      <c r="AL160" s="30"/>
      <c r="AM160" s="30"/>
    </row>
    <row r="161" spans="3:39">
      <c r="C161" s="31"/>
      <c r="D161" s="31"/>
      <c r="E161" s="31"/>
      <c r="F161" s="30"/>
      <c r="G161" s="30"/>
      <c r="H161" s="30"/>
      <c r="I161" s="30"/>
      <c r="J161" s="30"/>
      <c r="K161" s="30"/>
      <c r="L161" s="30"/>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row>
    <row r="162" spans="3:39">
      <c r="C162" s="31"/>
      <c r="D162" s="31"/>
      <c r="E162" s="31"/>
      <c r="F162" s="30"/>
      <c r="G162" s="30"/>
      <c r="H162" s="30"/>
      <c r="I162" s="30"/>
      <c r="J162" s="30"/>
      <c r="K162" s="30"/>
      <c r="L162" s="30"/>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row>
    <row r="163" spans="3:39">
      <c r="C163" s="31"/>
      <c r="D163" s="31"/>
      <c r="E163" s="31"/>
      <c r="F163" s="30"/>
      <c r="G163" s="30"/>
      <c r="H163" s="30"/>
      <c r="I163" s="30"/>
      <c r="J163" s="30"/>
      <c r="K163" s="30"/>
      <c r="L163" s="30"/>
      <c r="M163" s="30"/>
      <c r="N163" s="30"/>
      <c r="O163" s="30"/>
      <c r="P163" s="30"/>
      <c r="Q163" s="30"/>
      <c r="R163" s="30"/>
      <c r="S163" s="30"/>
      <c r="T163" s="30"/>
      <c r="U163" s="30"/>
      <c r="V163" s="30"/>
      <c r="W163" s="30"/>
      <c r="X163" s="30"/>
      <c r="Y163" s="30"/>
      <c r="Z163" s="30"/>
      <c r="AA163" s="30"/>
      <c r="AB163" s="30"/>
      <c r="AC163" s="30"/>
      <c r="AD163" s="30"/>
      <c r="AE163" s="30"/>
      <c r="AF163" s="30"/>
      <c r="AG163" s="30"/>
      <c r="AH163" s="30"/>
      <c r="AI163" s="30"/>
      <c r="AJ163" s="30"/>
      <c r="AK163" s="30"/>
      <c r="AL163" s="30"/>
      <c r="AM163" s="30"/>
    </row>
    <row r="164" spans="3:39">
      <c r="C164" s="31"/>
      <c r="D164" s="31"/>
      <c r="E164" s="31"/>
      <c r="F164" s="30"/>
      <c r="G164" s="30"/>
      <c r="H164" s="30"/>
      <c r="I164" s="30"/>
      <c r="J164" s="30"/>
      <c r="K164" s="30"/>
      <c r="L164" s="30"/>
      <c r="M164" s="30"/>
      <c r="N164" s="30"/>
      <c r="O164" s="30"/>
      <c r="P164" s="30"/>
      <c r="Q164" s="30"/>
      <c r="R164" s="30"/>
      <c r="S164" s="30"/>
      <c r="T164" s="30"/>
      <c r="U164" s="30"/>
      <c r="V164" s="30"/>
      <c r="W164" s="30"/>
      <c r="X164" s="30"/>
      <c r="Y164" s="30"/>
      <c r="Z164" s="30"/>
      <c r="AA164" s="30"/>
      <c r="AB164" s="30"/>
      <c r="AC164" s="30"/>
      <c r="AD164" s="30"/>
      <c r="AE164" s="30"/>
      <c r="AF164" s="30"/>
      <c r="AG164" s="30"/>
      <c r="AH164" s="30"/>
      <c r="AI164" s="30"/>
      <c r="AJ164" s="30"/>
      <c r="AK164" s="30"/>
      <c r="AL164" s="30"/>
      <c r="AM164" s="30"/>
    </row>
    <row r="165" spans="3:39">
      <c r="C165" s="31"/>
      <c r="D165" s="31"/>
      <c r="E165" s="31"/>
      <c r="F165" s="30"/>
      <c r="G165" s="30"/>
      <c r="H165" s="30"/>
      <c r="I165" s="30"/>
      <c r="J165" s="30"/>
      <c r="K165" s="30"/>
      <c r="L165" s="30"/>
      <c r="M165" s="30"/>
      <c r="N165" s="30"/>
      <c r="O165" s="30"/>
      <c r="P165" s="30"/>
      <c r="Q165" s="30"/>
      <c r="R165" s="30"/>
      <c r="S165" s="30"/>
      <c r="T165" s="30"/>
      <c r="U165" s="30"/>
      <c r="V165" s="30"/>
      <c r="W165" s="30"/>
      <c r="X165" s="30"/>
      <c r="Y165" s="30"/>
      <c r="Z165" s="30"/>
      <c r="AA165" s="30"/>
      <c r="AB165" s="30"/>
      <c r="AC165" s="30"/>
      <c r="AD165" s="30"/>
      <c r="AE165" s="30"/>
      <c r="AF165" s="30"/>
      <c r="AG165" s="30"/>
      <c r="AH165" s="30"/>
      <c r="AI165" s="30"/>
      <c r="AJ165" s="30"/>
      <c r="AK165" s="30"/>
      <c r="AL165" s="30"/>
      <c r="AM165" s="30"/>
    </row>
    <row r="166" spans="3:39">
      <c r="C166" s="31"/>
      <c r="D166" s="31"/>
      <c r="E166" s="31"/>
      <c r="F166" s="30"/>
      <c r="G166" s="30"/>
      <c r="H166" s="30"/>
      <c r="I166" s="30"/>
      <c r="J166" s="30"/>
      <c r="K166" s="30"/>
      <c r="L166" s="30"/>
      <c r="M166" s="30"/>
      <c r="N166" s="30"/>
      <c r="O166" s="30"/>
      <c r="P166" s="30"/>
      <c r="Q166" s="30"/>
      <c r="R166" s="30"/>
      <c r="S166" s="30"/>
      <c r="T166" s="30"/>
      <c r="U166" s="30"/>
      <c r="V166" s="30"/>
      <c r="W166" s="30"/>
      <c r="X166" s="30"/>
      <c r="Y166" s="30"/>
      <c r="Z166" s="30"/>
      <c r="AA166" s="30"/>
      <c r="AB166" s="30"/>
      <c r="AC166" s="30"/>
      <c r="AD166" s="30"/>
      <c r="AE166" s="30"/>
      <c r="AF166" s="30"/>
      <c r="AG166" s="30"/>
      <c r="AH166" s="30"/>
      <c r="AI166" s="30"/>
      <c r="AJ166" s="30"/>
      <c r="AK166" s="30"/>
      <c r="AL166" s="30"/>
      <c r="AM166" s="30"/>
    </row>
    <row r="167" spans="3:39">
      <c r="C167" s="31"/>
      <c r="D167" s="31"/>
      <c r="E167" s="31"/>
      <c r="F167" s="30"/>
      <c r="G167" s="30"/>
      <c r="H167" s="30"/>
      <c r="I167" s="30"/>
      <c r="J167" s="30"/>
      <c r="K167" s="30"/>
      <c r="L167" s="30"/>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row>
    <row r="168" spans="3:39">
      <c r="C168" s="31"/>
      <c r="D168" s="31"/>
      <c r="E168" s="31"/>
      <c r="F168" s="30"/>
      <c r="G168" s="30"/>
      <c r="H168" s="30"/>
      <c r="I168" s="30"/>
      <c r="J168" s="30"/>
      <c r="K168" s="30"/>
      <c r="L168" s="30"/>
      <c r="M168" s="30"/>
      <c r="N168" s="30"/>
      <c r="O168" s="30"/>
      <c r="P168" s="30"/>
      <c r="Q168" s="30"/>
      <c r="R168" s="30"/>
      <c r="S168" s="30"/>
      <c r="T168" s="30"/>
      <c r="U168" s="30"/>
      <c r="V168" s="30"/>
      <c r="W168" s="30"/>
      <c r="X168" s="30"/>
      <c r="Y168" s="30"/>
      <c r="Z168" s="30"/>
      <c r="AA168" s="30"/>
      <c r="AB168" s="30"/>
      <c r="AC168" s="30"/>
      <c r="AD168" s="30"/>
      <c r="AE168" s="30"/>
      <c r="AF168" s="30"/>
      <c r="AG168" s="30"/>
      <c r="AH168" s="30"/>
      <c r="AI168" s="30"/>
      <c r="AJ168" s="30"/>
      <c r="AK168" s="30"/>
      <c r="AL168" s="30"/>
      <c r="AM168" s="30"/>
    </row>
    <row r="169" spans="3:39">
      <c r="C169" s="31"/>
      <c r="D169" s="31"/>
      <c r="E169" s="31"/>
      <c r="F169" s="30"/>
      <c r="G169" s="30"/>
      <c r="H169" s="30"/>
      <c r="I169" s="30"/>
      <c r="J169" s="30"/>
      <c r="K169" s="30"/>
      <c r="L169" s="30"/>
      <c r="M169" s="30"/>
      <c r="N169" s="30"/>
      <c r="O169" s="30"/>
      <c r="P169" s="30"/>
      <c r="Q169" s="30"/>
      <c r="R169" s="30"/>
      <c r="S169" s="30"/>
      <c r="T169" s="30"/>
      <c r="U169" s="30"/>
      <c r="V169" s="30"/>
      <c r="W169" s="30"/>
      <c r="X169" s="30"/>
      <c r="Y169" s="30"/>
      <c r="Z169" s="30"/>
      <c r="AA169" s="30"/>
      <c r="AB169" s="30"/>
      <c r="AC169" s="30"/>
      <c r="AD169" s="30"/>
      <c r="AE169" s="30"/>
      <c r="AF169" s="30"/>
      <c r="AG169" s="30"/>
      <c r="AH169" s="30"/>
      <c r="AI169" s="30"/>
      <c r="AJ169" s="30"/>
      <c r="AK169" s="30"/>
      <c r="AL169" s="30"/>
      <c r="AM169" s="30"/>
    </row>
    <row r="170" spans="3:39">
      <c r="C170" s="31"/>
      <c r="D170" s="31"/>
      <c r="E170" s="31"/>
      <c r="F170" s="30"/>
      <c r="G170" s="30"/>
      <c r="H170" s="30"/>
      <c r="I170" s="30"/>
      <c r="J170" s="30"/>
      <c r="K170" s="30"/>
      <c r="L170" s="30"/>
      <c r="M170" s="30"/>
      <c r="N170" s="30"/>
      <c r="O170" s="30"/>
      <c r="P170" s="30"/>
      <c r="Q170" s="30"/>
      <c r="R170" s="30"/>
      <c r="S170" s="30"/>
      <c r="T170" s="30"/>
      <c r="U170" s="30"/>
      <c r="V170" s="30"/>
      <c r="W170" s="30"/>
      <c r="X170" s="30"/>
      <c r="Y170" s="30"/>
      <c r="Z170" s="30"/>
      <c r="AA170" s="30"/>
      <c r="AB170" s="30"/>
      <c r="AC170" s="30"/>
      <c r="AD170" s="30"/>
      <c r="AE170" s="30"/>
      <c r="AF170" s="30"/>
      <c r="AG170" s="30"/>
      <c r="AH170" s="30"/>
      <c r="AI170" s="30"/>
      <c r="AJ170" s="30"/>
      <c r="AK170" s="30"/>
      <c r="AL170" s="30"/>
      <c r="AM170" s="30"/>
    </row>
    <row r="171" spans="3:39">
      <c r="C171" s="31"/>
      <c r="D171" s="31"/>
      <c r="E171" s="31"/>
      <c r="F171" s="30"/>
      <c r="G171" s="30"/>
      <c r="H171" s="30"/>
      <c r="I171" s="30"/>
      <c r="J171" s="30"/>
      <c r="K171" s="30"/>
      <c r="L171" s="30"/>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row>
    <row r="172" spans="3:39">
      <c r="C172" s="31"/>
      <c r="D172" s="31"/>
      <c r="E172" s="31"/>
      <c r="F172" s="30"/>
      <c r="G172" s="30"/>
      <c r="H172" s="30"/>
      <c r="I172" s="30"/>
      <c r="J172" s="30"/>
      <c r="K172" s="30"/>
      <c r="L172" s="30"/>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row>
    <row r="173" spans="3:39">
      <c r="C173" s="31"/>
      <c r="D173" s="31"/>
      <c r="E173" s="31"/>
      <c r="F173" s="30"/>
      <c r="G173" s="30"/>
      <c r="H173" s="30"/>
      <c r="I173" s="30"/>
      <c r="J173" s="30"/>
      <c r="K173" s="30"/>
      <c r="L173" s="30"/>
      <c r="M173" s="30"/>
      <c r="N173" s="30"/>
      <c r="O173" s="30"/>
      <c r="P173" s="30"/>
      <c r="Q173" s="30"/>
      <c r="R173" s="30"/>
      <c r="S173" s="30"/>
      <c r="T173" s="30"/>
      <c r="U173" s="30"/>
      <c r="V173" s="30"/>
      <c r="W173" s="30"/>
      <c r="X173" s="30"/>
      <c r="Y173" s="30"/>
      <c r="Z173" s="30"/>
      <c r="AA173" s="30"/>
      <c r="AB173" s="30"/>
      <c r="AC173" s="30"/>
      <c r="AD173" s="30"/>
      <c r="AE173" s="30"/>
      <c r="AF173" s="30"/>
      <c r="AG173" s="30"/>
      <c r="AH173" s="30"/>
      <c r="AI173" s="30"/>
      <c r="AJ173" s="30"/>
      <c r="AK173" s="30"/>
      <c r="AL173" s="30"/>
      <c r="AM173" s="30"/>
    </row>
    <row r="174" spans="3:39">
      <c r="C174" s="31"/>
      <c r="D174" s="31"/>
      <c r="E174" s="31"/>
      <c r="F174" s="30"/>
      <c r="G174" s="30"/>
      <c r="H174" s="30"/>
      <c r="I174" s="30"/>
      <c r="J174" s="30"/>
      <c r="K174" s="30"/>
      <c r="L174" s="30"/>
      <c r="M174" s="30"/>
      <c r="N174" s="30"/>
      <c r="O174" s="30"/>
      <c r="P174" s="30"/>
      <c r="Q174" s="30"/>
      <c r="R174" s="30"/>
      <c r="S174" s="30"/>
      <c r="T174" s="30"/>
      <c r="U174" s="30"/>
      <c r="V174" s="30"/>
      <c r="W174" s="30"/>
      <c r="X174" s="30"/>
      <c r="Y174" s="30"/>
      <c r="Z174" s="30"/>
      <c r="AA174" s="30"/>
      <c r="AB174" s="30"/>
      <c r="AC174" s="30"/>
      <c r="AD174" s="30"/>
      <c r="AE174" s="30"/>
      <c r="AF174" s="30"/>
      <c r="AG174" s="30"/>
      <c r="AH174" s="30"/>
      <c r="AI174" s="30"/>
      <c r="AJ174" s="30"/>
      <c r="AK174" s="30"/>
      <c r="AL174" s="30"/>
      <c r="AM174" s="30"/>
    </row>
    <row r="175" spans="3:39">
      <c r="C175" s="31"/>
      <c r="D175" s="31"/>
      <c r="E175" s="31"/>
      <c r="F175" s="30"/>
      <c r="G175" s="30"/>
      <c r="H175" s="30"/>
      <c r="I175" s="30"/>
      <c r="J175" s="30"/>
      <c r="K175" s="30"/>
      <c r="L175" s="30"/>
      <c r="M175" s="30"/>
      <c r="N175" s="30"/>
      <c r="O175" s="30"/>
      <c r="P175" s="30"/>
      <c r="Q175" s="30"/>
      <c r="R175" s="30"/>
      <c r="S175" s="30"/>
      <c r="T175" s="30"/>
      <c r="U175" s="30"/>
      <c r="V175" s="30"/>
      <c r="W175" s="30"/>
      <c r="X175" s="30"/>
      <c r="Y175" s="30"/>
      <c r="Z175" s="30"/>
      <c r="AA175" s="30"/>
      <c r="AB175" s="30"/>
      <c r="AC175" s="30"/>
      <c r="AD175" s="30"/>
      <c r="AE175" s="30"/>
      <c r="AF175" s="30"/>
      <c r="AG175" s="30"/>
      <c r="AH175" s="30"/>
      <c r="AI175" s="30"/>
      <c r="AJ175" s="30"/>
      <c r="AK175" s="30"/>
      <c r="AL175" s="30"/>
      <c r="AM175" s="30"/>
    </row>
    <row r="176" spans="3:39">
      <c r="C176" s="31"/>
      <c r="D176" s="31"/>
      <c r="E176" s="31"/>
      <c r="F176" s="30"/>
      <c r="G176" s="30"/>
      <c r="H176" s="30"/>
      <c r="I176" s="30"/>
      <c r="J176" s="30"/>
      <c r="K176" s="30"/>
      <c r="L176" s="30"/>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row>
    <row r="177" spans="3:39">
      <c r="C177" s="31"/>
      <c r="D177" s="31"/>
      <c r="E177" s="31"/>
      <c r="F177" s="30"/>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row>
    <row r="178" spans="3:39">
      <c r="C178" s="31"/>
      <c r="D178" s="31"/>
      <c r="E178" s="31"/>
      <c r="F178" s="30"/>
      <c r="G178" s="30"/>
      <c r="H178" s="30"/>
      <c r="I178" s="30"/>
      <c r="J178" s="30"/>
      <c r="K178" s="30"/>
      <c r="L178" s="30"/>
      <c r="M178" s="30"/>
      <c r="N178" s="30"/>
      <c r="O178" s="30"/>
      <c r="P178" s="30"/>
      <c r="Q178" s="30"/>
      <c r="R178" s="30"/>
      <c r="S178" s="30"/>
      <c r="T178" s="30"/>
      <c r="U178" s="30"/>
      <c r="V178" s="30"/>
      <c r="W178" s="30"/>
      <c r="X178" s="30"/>
      <c r="Y178" s="30"/>
      <c r="Z178" s="30"/>
      <c r="AA178" s="30"/>
      <c r="AB178" s="30"/>
      <c r="AC178" s="30"/>
      <c r="AD178" s="30"/>
      <c r="AE178" s="30"/>
      <c r="AF178" s="30"/>
      <c r="AG178" s="30"/>
      <c r="AH178" s="30"/>
      <c r="AI178" s="30"/>
      <c r="AJ178" s="30"/>
      <c r="AK178" s="30"/>
      <c r="AL178" s="30"/>
      <c r="AM178" s="30"/>
    </row>
    <row r="179" spans="3:39">
      <c r="C179" s="31"/>
      <c r="D179" s="31"/>
      <c r="E179" s="31"/>
      <c r="F179" s="30"/>
      <c r="G179" s="30"/>
      <c r="H179" s="30"/>
      <c r="I179" s="30"/>
      <c r="J179" s="30"/>
      <c r="K179" s="30"/>
      <c r="L179" s="30"/>
      <c r="M179" s="30"/>
      <c r="N179" s="30"/>
      <c r="O179" s="30"/>
      <c r="P179" s="30"/>
      <c r="Q179" s="30"/>
      <c r="R179" s="30"/>
      <c r="S179" s="30"/>
      <c r="T179" s="30"/>
      <c r="U179" s="30"/>
      <c r="V179" s="30"/>
      <c r="W179" s="30"/>
      <c r="X179" s="30"/>
      <c r="Y179" s="30"/>
      <c r="Z179" s="30"/>
      <c r="AA179" s="30"/>
      <c r="AB179" s="30"/>
      <c r="AC179" s="30"/>
      <c r="AD179" s="30"/>
      <c r="AE179" s="30"/>
      <c r="AF179" s="30"/>
      <c r="AG179" s="30"/>
      <c r="AH179" s="30"/>
      <c r="AI179" s="30"/>
      <c r="AJ179" s="30"/>
      <c r="AK179" s="30"/>
      <c r="AL179" s="30"/>
      <c r="AM179" s="30"/>
    </row>
    <row r="180" spans="3:39">
      <c r="C180" s="31"/>
      <c r="D180" s="31"/>
      <c r="E180" s="31"/>
      <c r="F180" s="30"/>
      <c r="G180" s="30"/>
      <c r="H180" s="30"/>
      <c r="I180" s="30"/>
      <c r="J180" s="30"/>
      <c r="K180" s="30"/>
      <c r="L180" s="30"/>
      <c r="M180" s="30"/>
      <c r="N180" s="30"/>
      <c r="O180" s="30"/>
      <c r="P180" s="30"/>
      <c r="Q180" s="30"/>
      <c r="R180" s="30"/>
      <c r="S180" s="30"/>
      <c r="T180" s="30"/>
      <c r="U180" s="30"/>
      <c r="V180" s="30"/>
      <c r="W180" s="30"/>
      <c r="X180" s="30"/>
      <c r="Y180" s="30"/>
      <c r="Z180" s="30"/>
      <c r="AA180" s="30"/>
      <c r="AB180" s="30"/>
      <c r="AC180" s="30"/>
      <c r="AD180" s="30"/>
      <c r="AE180" s="30"/>
      <c r="AF180" s="30"/>
      <c r="AG180" s="30"/>
      <c r="AH180" s="30"/>
      <c r="AI180" s="30"/>
      <c r="AJ180" s="30"/>
      <c r="AK180" s="30"/>
      <c r="AL180" s="30"/>
      <c r="AM180" s="30"/>
    </row>
    <row r="181" spans="3:39">
      <c r="C181" s="31"/>
      <c r="D181" s="31"/>
      <c r="E181" s="31"/>
      <c r="F181" s="30"/>
      <c r="G181" s="30"/>
      <c r="H181" s="30"/>
      <c r="I181" s="30"/>
      <c r="J181" s="30"/>
      <c r="K181" s="30"/>
      <c r="L181" s="30"/>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row>
    <row r="182" spans="3:39">
      <c r="C182" s="31"/>
      <c r="D182" s="31"/>
      <c r="E182" s="31"/>
      <c r="F182" s="30"/>
      <c r="G182" s="30"/>
      <c r="H182" s="30"/>
      <c r="I182" s="30"/>
      <c r="J182" s="30"/>
      <c r="K182" s="30"/>
      <c r="L182" s="30"/>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row>
    <row r="183" spans="3:39">
      <c r="C183" s="31"/>
      <c r="D183" s="31"/>
      <c r="E183" s="31"/>
      <c r="F183" s="30"/>
      <c r="G183" s="30"/>
      <c r="H183" s="30"/>
      <c r="I183" s="30"/>
      <c r="J183" s="30"/>
      <c r="K183" s="30"/>
      <c r="L183" s="30"/>
      <c r="M183" s="30"/>
      <c r="N183" s="30"/>
      <c r="O183" s="30"/>
      <c r="P183" s="30"/>
      <c r="Q183" s="30"/>
      <c r="R183" s="30"/>
      <c r="S183" s="30"/>
      <c r="T183" s="30"/>
      <c r="U183" s="30"/>
      <c r="V183" s="30"/>
      <c r="W183" s="30"/>
      <c r="X183" s="30"/>
      <c r="Y183" s="30"/>
      <c r="Z183" s="30"/>
      <c r="AA183" s="30"/>
      <c r="AB183" s="30"/>
      <c r="AC183" s="30"/>
      <c r="AD183" s="30"/>
      <c r="AE183" s="30"/>
      <c r="AF183" s="30"/>
      <c r="AG183" s="30"/>
      <c r="AH183" s="30"/>
      <c r="AI183" s="30"/>
      <c r="AJ183" s="30"/>
      <c r="AK183" s="30"/>
      <c r="AL183" s="30"/>
      <c r="AM183" s="30"/>
    </row>
    <row r="184" spans="3:39">
      <c r="C184" s="31"/>
      <c r="D184" s="31"/>
      <c r="E184" s="31"/>
      <c r="F184" s="30"/>
      <c r="G184" s="30"/>
      <c r="H184" s="30"/>
      <c r="I184" s="30"/>
      <c r="J184" s="30"/>
      <c r="K184" s="30"/>
      <c r="L184" s="30"/>
      <c r="M184" s="30"/>
      <c r="N184" s="30"/>
      <c r="O184" s="30"/>
      <c r="P184" s="30"/>
      <c r="Q184" s="30"/>
      <c r="R184" s="30"/>
      <c r="S184" s="30"/>
      <c r="T184" s="30"/>
      <c r="U184" s="30"/>
      <c r="V184" s="30"/>
      <c r="W184" s="30"/>
      <c r="X184" s="30"/>
      <c r="Y184" s="30"/>
      <c r="Z184" s="30"/>
      <c r="AA184" s="30"/>
      <c r="AB184" s="30"/>
      <c r="AC184" s="30"/>
      <c r="AD184" s="30"/>
      <c r="AE184" s="30"/>
      <c r="AF184" s="30"/>
      <c r="AG184" s="30"/>
      <c r="AH184" s="30"/>
      <c r="AI184" s="30"/>
      <c r="AJ184" s="30"/>
      <c r="AK184" s="30"/>
      <c r="AL184" s="30"/>
      <c r="AM184" s="30"/>
    </row>
    <row r="185" spans="3:39">
      <c r="C185" s="31"/>
      <c r="D185" s="31"/>
      <c r="E185" s="31"/>
      <c r="F185" s="30"/>
      <c r="G185" s="30"/>
      <c r="H185" s="30"/>
      <c r="I185" s="30"/>
      <c r="J185" s="30"/>
      <c r="K185" s="30"/>
      <c r="L185" s="30"/>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row>
    <row r="186" spans="3:39">
      <c r="C186" s="31"/>
      <c r="D186" s="31"/>
      <c r="E186" s="31"/>
      <c r="F186" s="30"/>
      <c r="G186" s="30"/>
      <c r="H186" s="30"/>
      <c r="I186" s="30"/>
      <c r="J186" s="30"/>
      <c r="K186" s="30"/>
      <c r="L186" s="30"/>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row>
    <row r="187" spans="3:39">
      <c r="C187" s="31"/>
      <c r="D187" s="31"/>
      <c r="E187" s="31"/>
      <c r="F187" s="30"/>
      <c r="G187" s="30"/>
      <c r="H187" s="30"/>
      <c r="I187" s="30"/>
      <c r="J187" s="30"/>
      <c r="K187" s="30"/>
      <c r="L187" s="30"/>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row>
    <row r="188" spans="3:39">
      <c r="C188" s="31"/>
      <c r="D188" s="31"/>
      <c r="E188" s="31"/>
      <c r="F188" s="30"/>
      <c r="G188" s="30"/>
      <c r="H188" s="30"/>
      <c r="I188" s="30"/>
      <c r="J188" s="30"/>
      <c r="K188" s="30"/>
      <c r="L188" s="30"/>
      <c r="M188" s="30"/>
      <c r="N188" s="30"/>
      <c r="O188" s="30"/>
      <c r="P188" s="30"/>
      <c r="Q188" s="30"/>
      <c r="R188" s="30"/>
      <c r="S188" s="30"/>
      <c r="T188" s="30"/>
      <c r="U188" s="30"/>
      <c r="V188" s="30"/>
      <c r="W188" s="30"/>
      <c r="X188" s="30"/>
      <c r="Y188" s="30"/>
      <c r="Z188" s="30"/>
      <c r="AA188" s="30"/>
      <c r="AB188" s="30"/>
      <c r="AC188" s="30"/>
      <c r="AD188" s="30"/>
      <c r="AE188" s="30"/>
      <c r="AF188" s="30"/>
      <c r="AG188" s="30"/>
      <c r="AH188" s="30"/>
      <c r="AI188" s="30"/>
      <c r="AJ188" s="30"/>
      <c r="AK188" s="30"/>
      <c r="AL188" s="30"/>
      <c r="AM188" s="30"/>
    </row>
    <row r="189" spans="3:39">
      <c r="C189" s="31"/>
      <c r="D189" s="31"/>
      <c r="E189" s="31"/>
      <c r="F189" s="30"/>
      <c r="G189" s="30"/>
      <c r="H189" s="30"/>
      <c r="I189" s="30"/>
      <c r="J189" s="30"/>
      <c r="K189" s="30"/>
      <c r="L189" s="30"/>
      <c r="M189" s="30"/>
      <c r="N189" s="30"/>
      <c r="O189" s="30"/>
      <c r="P189" s="30"/>
      <c r="Q189" s="30"/>
      <c r="R189" s="30"/>
      <c r="S189" s="30"/>
      <c r="T189" s="30"/>
      <c r="U189" s="30"/>
      <c r="V189" s="30"/>
      <c r="W189" s="30"/>
      <c r="X189" s="30"/>
      <c r="Y189" s="30"/>
      <c r="Z189" s="30"/>
      <c r="AA189" s="30"/>
      <c r="AB189" s="30"/>
      <c r="AC189" s="30"/>
      <c r="AD189" s="30"/>
      <c r="AE189" s="30"/>
      <c r="AF189" s="30"/>
      <c r="AG189" s="30"/>
      <c r="AH189" s="30"/>
      <c r="AI189" s="30"/>
      <c r="AJ189" s="30"/>
      <c r="AK189" s="30"/>
      <c r="AL189" s="30"/>
      <c r="AM189" s="30"/>
    </row>
    <row r="190" spans="3:39">
      <c r="C190" s="31"/>
      <c r="D190" s="31"/>
      <c r="E190" s="31"/>
      <c r="F190" s="30"/>
      <c r="G190" s="30"/>
      <c r="H190" s="30"/>
      <c r="I190" s="30"/>
      <c r="J190" s="30"/>
      <c r="K190" s="30"/>
      <c r="L190" s="30"/>
      <c r="M190" s="30"/>
      <c r="N190" s="30"/>
      <c r="O190" s="30"/>
      <c r="P190" s="30"/>
      <c r="Q190" s="30"/>
      <c r="R190" s="30"/>
      <c r="S190" s="30"/>
      <c r="T190" s="30"/>
      <c r="U190" s="30"/>
      <c r="V190" s="30"/>
      <c r="W190" s="30"/>
      <c r="X190" s="30"/>
      <c r="Y190" s="30"/>
      <c r="Z190" s="30"/>
      <c r="AA190" s="30"/>
      <c r="AB190" s="30"/>
      <c r="AC190" s="30"/>
      <c r="AD190" s="30"/>
      <c r="AE190" s="30"/>
      <c r="AF190" s="30"/>
      <c r="AG190" s="30"/>
      <c r="AH190" s="30"/>
      <c r="AI190" s="30"/>
      <c r="AJ190" s="30"/>
      <c r="AK190" s="30"/>
      <c r="AL190" s="30"/>
      <c r="AM190" s="30"/>
    </row>
    <row r="191" spans="3:39">
      <c r="C191" s="31"/>
      <c r="D191" s="31"/>
      <c r="E191" s="31"/>
      <c r="F191" s="30"/>
      <c r="G191" s="30"/>
      <c r="H191" s="30"/>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c r="AH191" s="30"/>
      <c r="AI191" s="30"/>
      <c r="AJ191" s="30"/>
      <c r="AK191" s="30"/>
      <c r="AL191" s="30"/>
      <c r="AM191" s="30"/>
    </row>
    <row r="192" spans="3:39">
      <c r="C192" s="31"/>
      <c r="D192" s="31"/>
      <c r="E192" s="31"/>
      <c r="F192" s="30"/>
      <c r="G192" s="30"/>
      <c r="H192" s="30"/>
      <c r="I192" s="30"/>
      <c r="J192" s="30"/>
      <c r="K192" s="30"/>
      <c r="L192" s="30"/>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row>
    <row r="193" spans="3:39">
      <c r="C193" s="31"/>
      <c r="D193" s="31"/>
      <c r="E193" s="31"/>
      <c r="F193" s="30"/>
      <c r="G193" s="30"/>
      <c r="H193" s="30"/>
      <c r="I193" s="30"/>
      <c r="J193" s="30"/>
      <c r="K193" s="30"/>
      <c r="L193" s="30"/>
      <c r="M193" s="30"/>
      <c r="N193" s="30"/>
      <c r="O193" s="30"/>
      <c r="P193" s="30"/>
      <c r="Q193" s="30"/>
      <c r="R193" s="30"/>
      <c r="S193" s="30"/>
      <c r="T193" s="30"/>
      <c r="U193" s="30"/>
      <c r="V193" s="30"/>
      <c r="W193" s="30"/>
      <c r="X193" s="30"/>
      <c r="Y193" s="30"/>
      <c r="Z193" s="30"/>
      <c r="AA193" s="30"/>
      <c r="AB193" s="30"/>
      <c r="AC193" s="30"/>
      <c r="AD193" s="30"/>
      <c r="AE193" s="30"/>
      <c r="AF193" s="30"/>
      <c r="AG193" s="30"/>
      <c r="AH193" s="30"/>
      <c r="AI193" s="30"/>
      <c r="AJ193" s="30"/>
      <c r="AK193" s="30"/>
      <c r="AL193" s="30"/>
      <c r="AM193" s="30"/>
    </row>
    <row r="194" spans="3:39">
      <c r="C194" s="31"/>
      <c r="D194" s="31"/>
      <c r="E194" s="31"/>
      <c r="F194" s="30"/>
      <c r="G194" s="30"/>
      <c r="H194" s="30"/>
      <c r="I194" s="30"/>
      <c r="J194" s="30"/>
      <c r="K194" s="30"/>
      <c r="L194" s="30"/>
      <c r="M194" s="30"/>
      <c r="N194" s="30"/>
      <c r="O194" s="30"/>
      <c r="P194" s="30"/>
      <c r="Q194" s="30"/>
      <c r="R194" s="30"/>
      <c r="S194" s="30"/>
      <c r="T194" s="30"/>
      <c r="U194" s="30"/>
      <c r="V194" s="30"/>
      <c r="W194" s="30"/>
      <c r="X194" s="30"/>
      <c r="Y194" s="30"/>
      <c r="Z194" s="30"/>
      <c r="AA194" s="30"/>
      <c r="AB194" s="30"/>
      <c r="AC194" s="30"/>
      <c r="AD194" s="30"/>
      <c r="AE194" s="30"/>
      <c r="AF194" s="30"/>
      <c r="AG194" s="30"/>
      <c r="AH194" s="30"/>
      <c r="AI194" s="30"/>
      <c r="AJ194" s="30"/>
      <c r="AK194" s="30"/>
      <c r="AL194" s="30"/>
      <c r="AM194" s="30"/>
    </row>
    <row r="195" spans="3:39">
      <c r="C195" s="31"/>
      <c r="D195" s="31"/>
      <c r="E195" s="31"/>
      <c r="F195" s="30"/>
      <c r="G195" s="30"/>
      <c r="H195" s="30"/>
      <c r="I195" s="30"/>
      <c r="J195" s="30"/>
      <c r="K195" s="30"/>
      <c r="L195" s="30"/>
      <c r="M195" s="30"/>
      <c r="N195" s="30"/>
      <c r="O195" s="30"/>
      <c r="P195" s="30"/>
      <c r="Q195" s="30"/>
      <c r="R195" s="30"/>
      <c r="S195" s="30"/>
      <c r="T195" s="30"/>
      <c r="U195" s="30"/>
      <c r="V195" s="30"/>
      <c r="W195" s="30"/>
      <c r="X195" s="30"/>
      <c r="Y195" s="30"/>
      <c r="Z195" s="30"/>
      <c r="AA195" s="30"/>
      <c r="AB195" s="30"/>
      <c r="AC195" s="30"/>
      <c r="AD195" s="30"/>
      <c r="AE195" s="30"/>
      <c r="AF195" s="30"/>
      <c r="AG195" s="30"/>
      <c r="AH195" s="30"/>
      <c r="AI195" s="30"/>
      <c r="AJ195" s="30"/>
      <c r="AK195" s="30"/>
      <c r="AL195" s="30"/>
      <c r="AM195" s="30"/>
    </row>
    <row r="196" spans="3:39">
      <c r="C196" s="31"/>
      <c r="D196" s="31"/>
      <c r="E196" s="31"/>
      <c r="F196" s="30"/>
      <c r="G196" s="30"/>
      <c r="H196" s="30"/>
      <c r="I196" s="30"/>
      <c r="J196" s="30"/>
      <c r="K196" s="30"/>
      <c r="L196" s="30"/>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row>
    <row r="197" spans="3:39">
      <c r="C197" s="31"/>
      <c r="D197" s="31"/>
      <c r="E197" s="31"/>
      <c r="F197" s="30"/>
      <c r="G197" s="30"/>
      <c r="H197" s="30"/>
      <c r="I197" s="30"/>
      <c r="J197" s="30"/>
      <c r="K197" s="30"/>
      <c r="L197" s="30"/>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row>
    <row r="198" spans="3:39">
      <c r="C198" s="31"/>
      <c r="D198" s="31"/>
      <c r="E198" s="31"/>
      <c r="F198" s="30"/>
      <c r="G198" s="30"/>
      <c r="H198" s="30"/>
      <c r="I198" s="30"/>
      <c r="J198" s="30"/>
      <c r="K198" s="30"/>
      <c r="L198" s="30"/>
      <c r="M198" s="30"/>
      <c r="N198" s="30"/>
      <c r="O198" s="30"/>
      <c r="P198" s="30"/>
      <c r="Q198" s="30"/>
      <c r="R198" s="30"/>
      <c r="S198" s="30"/>
      <c r="T198" s="30"/>
      <c r="U198" s="30"/>
      <c r="V198" s="30"/>
      <c r="W198" s="30"/>
      <c r="X198" s="30"/>
      <c r="Y198" s="30"/>
      <c r="Z198" s="30"/>
      <c r="AA198" s="30"/>
      <c r="AB198" s="30"/>
      <c r="AC198" s="30"/>
      <c r="AD198" s="30"/>
      <c r="AE198" s="30"/>
      <c r="AF198" s="30"/>
      <c r="AG198" s="30"/>
      <c r="AH198" s="30"/>
      <c r="AI198" s="30"/>
      <c r="AJ198" s="30"/>
      <c r="AK198" s="30"/>
      <c r="AL198" s="30"/>
      <c r="AM198" s="30"/>
    </row>
    <row r="199" spans="3:39">
      <c r="C199" s="31"/>
      <c r="D199" s="31"/>
      <c r="E199" s="31"/>
      <c r="F199" s="30"/>
      <c r="G199" s="30"/>
      <c r="H199" s="30"/>
      <c r="I199" s="30"/>
      <c r="J199" s="30"/>
      <c r="K199" s="30"/>
      <c r="L199" s="30"/>
      <c r="M199" s="30"/>
      <c r="N199" s="30"/>
      <c r="O199" s="30"/>
      <c r="P199" s="30"/>
      <c r="Q199" s="30"/>
      <c r="R199" s="30"/>
      <c r="S199" s="30"/>
      <c r="T199" s="30"/>
      <c r="U199" s="30"/>
      <c r="V199" s="30"/>
      <c r="W199" s="30"/>
      <c r="X199" s="30"/>
      <c r="Y199" s="30"/>
      <c r="Z199" s="30"/>
      <c r="AA199" s="30"/>
      <c r="AB199" s="30"/>
      <c r="AC199" s="30"/>
      <c r="AD199" s="30"/>
      <c r="AE199" s="30"/>
      <c r="AF199" s="30"/>
      <c r="AG199" s="30"/>
      <c r="AH199" s="30"/>
      <c r="AI199" s="30"/>
      <c r="AJ199" s="30"/>
      <c r="AK199" s="30"/>
      <c r="AL199" s="30"/>
      <c r="AM199" s="30"/>
    </row>
    <row r="200" spans="3:39">
      <c r="C200" s="31"/>
      <c r="D200" s="31"/>
      <c r="E200" s="31"/>
      <c r="F200" s="30"/>
      <c r="G200" s="30"/>
      <c r="H200" s="30"/>
      <c r="I200" s="30"/>
      <c r="J200" s="30"/>
      <c r="K200" s="30"/>
      <c r="L200" s="30"/>
      <c r="M200" s="30"/>
      <c r="N200" s="30"/>
      <c r="O200" s="30"/>
      <c r="P200" s="30"/>
      <c r="Q200" s="30"/>
      <c r="R200" s="30"/>
      <c r="S200" s="30"/>
      <c r="T200" s="30"/>
      <c r="U200" s="30"/>
      <c r="V200" s="30"/>
      <c r="W200" s="30"/>
      <c r="X200" s="30"/>
      <c r="Y200" s="30"/>
      <c r="Z200" s="30"/>
      <c r="AA200" s="30"/>
      <c r="AB200" s="30"/>
      <c r="AC200" s="30"/>
      <c r="AD200" s="30"/>
      <c r="AE200" s="30"/>
      <c r="AF200" s="30"/>
      <c r="AG200" s="30"/>
      <c r="AH200" s="30"/>
      <c r="AI200" s="30"/>
      <c r="AJ200" s="30"/>
      <c r="AK200" s="30"/>
      <c r="AL200" s="30"/>
      <c r="AM200" s="30"/>
    </row>
    <row r="201" spans="3:39">
      <c r="C201" s="31"/>
      <c r="D201" s="31"/>
      <c r="E201" s="31"/>
      <c r="F201" s="30"/>
      <c r="G201" s="30"/>
      <c r="H201" s="30"/>
      <c r="I201" s="30"/>
      <c r="J201" s="30"/>
      <c r="K201" s="30"/>
      <c r="L201" s="30"/>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row>
    <row r="202" spans="3:39">
      <c r="C202" s="31"/>
      <c r="D202" s="31"/>
      <c r="E202" s="31"/>
      <c r="F202" s="30"/>
      <c r="G202" s="30"/>
      <c r="H202" s="30"/>
      <c r="I202" s="30"/>
      <c r="J202" s="30"/>
      <c r="K202" s="30"/>
      <c r="L202" s="30"/>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row>
    <row r="203" spans="3:39">
      <c r="C203" s="31"/>
      <c r="D203" s="31"/>
      <c r="E203" s="31"/>
      <c r="F203" s="30"/>
      <c r="G203" s="30"/>
      <c r="H203" s="30"/>
      <c r="I203" s="30"/>
      <c r="J203" s="30"/>
      <c r="K203" s="30"/>
      <c r="L203" s="30"/>
      <c r="M203" s="30"/>
      <c r="N203" s="30"/>
      <c r="O203" s="30"/>
      <c r="P203" s="30"/>
      <c r="Q203" s="30"/>
      <c r="R203" s="30"/>
      <c r="S203" s="30"/>
      <c r="T203" s="30"/>
      <c r="U203" s="30"/>
      <c r="V203" s="30"/>
      <c r="W203" s="30"/>
      <c r="X203" s="30"/>
      <c r="Y203" s="30"/>
      <c r="Z203" s="30"/>
      <c r="AA203" s="30"/>
      <c r="AB203" s="30"/>
      <c r="AC203" s="30"/>
      <c r="AD203" s="30"/>
      <c r="AE203" s="30"/>
      <c r="AF203" s="30"/>
      <c r="AG203" s="30"/>
      <c r="AH203" s="30"/>
      <c r="AI203" s="30"/>
      <c r="AJ203" s="30"/>
      <c r="AK203" s="30"/>
      <c r="AL203" s="30"/>
      <c r="AM203" s="30"/>
    </row>
    <row r="204" spans="3:39">
      <c r="C204" s="31"/>
      <c r="D204" s="31"/>
      <c r="E204" s="31"/>
      <c r="F204" s="30"/>
      <c r="G204" s="30"/>
      <c r="H204" s="30"/>
      <c r="I204" s="30"/>
      <c r="J204" s="30"/>
      <c r="K204" s="30"/>
      <c r="L204" s="30"/>
      <c r="M204" s="30"/>
      <c r="N204" s="30"/>
      <c r="O204" s="30"/>
      <c r="P204" s="30"/>
      <c r="Q204" s="30"/>
      <c r="R204" s="30"/>
      <c r="S204" s="30"/>
      <c r="T204" s="30"/>
      <c r="U204" s="30"/>
      <c r="V204" s="30"/>
      <c r="W204" s="30"/>
      <c r="X204" s="30"/>
      <c r="Y204" s="30"/>
      <c r="Z204" s="30"/>
      <c r="AA204" s="30"/>
      <c r="AB204" s="30"/>
      <c r="AC204" s="30"/>
      <c r="AD204" s="30"/>
      <c r="AE204" s="30"/>
      <c r="AF204" s="30"/>
      <c r="AG204" s="30"/>
      <c r="AH204" s="30"/>
      <c r="AI204" s="30"/>
      <c r="AJ204" s="30"/>
      <c r="AK204" s="30"/>
      <c r="AL204" s="30"/>
      <c r="AM204" s="30"/>
    </row>
    <row r="205" spans="3:39">
      <c r="C205" s="31"/>
      <c r="D205" s="31"/>
      <c r="E205" s="31"/>
      <c r="F205" s="30"/>
      <c r="G205" s="30"/>
      <c r="H205" s="30"/>
      <c r="I205" s="30"/>
      <c r="J205" s="30"/>
      <c r="K205" s="30"/>
      <c r="L205" s="30"/>
      <c r="M205" s="30"/>
      <c r="N205" s="30"/>
      <c r="O205" s="30"/>
      <c r="P205" s="30"/>
      <c r="Q205" s="30"/>
      <c r="R205" s="30"/>
      <c r="S205" s="30"/>
      <c r="T205" s="30"/>
      <c r="U205" s="30"/>
      <c r="V205" s="30"/>
      <c r="W205" s="30"/>
      <c r="X205" s="30"/>
      <c r="Y205" s="30"/>
      <c r="Z205" s="30"/>
      <c r="AA205" s="30"/>
      <c r="AB205" s="30"/>
      <c r="AC205" s="30"/>
      <c r="AD205" s="30"/>
      <c r="AE205" s="30"/>
      <c r="AF205" s="30"/>
      <c r="AG205" s="30"/>
      <c r="AH205" s="30"/>
      <c r="AI205" s="30"/>
      <c r="AJ205" s="30"/>
      <c r="AK205" s="30"/>
      <c r="AL205" s="30"/>
      <c r="AM205" s="30"/>
    </row>
    <row r="206" spans="3:39">
      <c r="C206" s="31"/>
      <c r="D206" s="31"/>
      <c r="E206" s="31"/>
      <c r="F206" s="30"/>
      <c r="G206" s="30"/>
      <c r="H206" s="30"/>
      <c r="I206" s="30"/>
      <c r="J206" s="30"/>
      <c r="K206" s="30"/>
      <c r="L206" s="30"/>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row>
    <row r="207" spans="3:39">
      <c r="C207" s="31"/>
      <c r="D207" s="31"/>
      <c r="E207" s="31"/>
      <c r="F207" s="30"/>
      <c r="G207" s="30"/>
      <c r="H207" s="30"/>
      <c r="I207" s="30"/>
      <c r="J207" s="30"/>
      <c r="K207" s="30"/>
      <c r="L207" s="30"/>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row>
    <row r="208" spans="3:39">
      <c r="C208" s="31"/>
      <c r="D208" s="31"/>
      <c r="E208" s="31"/>
      <c r="F208" s="30"/>
      <c r="G208" s="30"/>
      <c r="H208" s="30"/>
      <c r="I208" s="30"/>
      <c r="J208" s="30"/>
      <c r="K208" s="30"/>
      <c r="L208" s="30"/>
      <c r="M208" s="30"/>
      <c r="N208" s="30"/>
      <c r="O208" s="30"/>
      <c r="P208" s="30"/>
      <c r="Q208" s="30"/>
      <c r="R208" s="30"/>
      <c r="S208" s="30"/>
      <c r="T208" s="30"/>
      <c r="U208" s="30"/>
      <c r="V208" s="30"/>
      <c r="W208" s="30"/>
      <c r="X208" s="30"/>
      <c r="Y208" s="30"/>
      <c r="Z208" s="30"/>
      <c r="AA208" s="30"/>
      <c r="AB208" s="30"/>
      <c r="AC208" s="30"/>
      <c r="AD208" s="30"/>
      <c r="AE208" s="30"/>
      <c r="AF208" s="30"/>
      <c r="AG208" s="30"/>
      <c r="AH208" s="30"/>
      <c r="AI208" s="30"/>
      <c r="AJ208" s="30"/>
      <c r="AK208" s="30"/>
      <c r="AL208" s="30"/>
      <c r="AM208" s="30"/>
    </row>
    <row r="209" spans="3:39">
      <c r="C209" s="31"/>
      <c r="D209" s="31"/>
      <c r="E209" s="31"/>
      <c r="F209" s="30"/>
      <c r="G209" s="30"/>
      <c r="H209" s="30"/>
      <c r="I209" s="30"/>
      <c r="J209" s="30"/>
      <c r="K209" s="30"/>
      <c r="L209" s="30"/>
      <c r="M209" s="30"/>
      <c r="N209" s="30"/>
      <c r="O209" s="30"/>
      <c r="P209" s="30"/>
      <c r="Q209" s="30"/>
      <c r="R209" s="30"/>
      <c r="S209" s="30"/>
      <c r="T209" s="30"/>
      <c r="U209" s="30"/>
      <c r="V209" s="30"/>
      <c r="W209" s="30"/>
      <c r="X209" s="30"/>
      <c r="Y209" s="30"/>
      <c r="Z209" s="30"/>
      <c r="AA209" s="30"/>
      <c r="AB209" s="30"/>
      <c r="AC209" s="30"/>
      <c r="AD209" s="30"/>
      <c r="AE209" s="30"/>
      <c r="AF209" s="30"/>
      <c r="AG209" s="30"/>
      <c r="AH209" s="30"/>
      <c r="AI209" s="30"/>
      <c r="AJ209" s="30"/>
      <c r="AK209" s="30"/>
      <c r="AL209" s="30"/>
      <c r="AM209" s="30"/>
    </row>
    <row r="210" spans="3:39">
      <c r="C210" s="31"/>
      <c r="D210" s="31"/>
      <c r="E210" s="31"/>
      <c r="F210" s="30"/>
      <c r="G210" s="30"/>
      <c r="H210" s="30"/>
      <c r="I210" s="30"/>
      <c r="J210" s="30"/>
      <c r="K210" s="30"/>
      <c r="L210" s="30"/>
      <c r="M210" s="30"/>
      <c r="N210" s="30"/>
      <c r="O210" s="30"/>
      <c r="P210" s="30"/>
      <c r="Q210" s="30"/>
      <c r="R210" s="30"/>
      <c r="S210" s="30"/>
      <c r="T210" s="30"/>
      <c r="U210" s="30"/>
      <c r="V210" s="30"/>
      <c r="W210" s="30"/>
      <c r="X210" s="30"/>
      <c r="Y210" s="30"/>
      <c r="Z210" s="30"/>
      <c r="AA210" s="30"/>
      <c r="AB210" s="30"/>
      <c r="AC210" s="30"/>
      <c r="AD210" s="30"/>
      <c r="AE210" s="30"/>
      <c r="AF210" s="30"/>
      <c r="AG210" s="30"/>
      <c r="AH210" s="30"/>
      <c r="AI210" s="30"/>
      <c r="AJ210" s="30"/>
      <c r="AK210" s="30"/>
      <c r="AL210" s="30"/>
      <c r="AM210" s="30"/>
    </row>
    <row r="211" spans="3:39">
      <c r="C211" s="31"/>
      <c r="D211" s="31"/>
      <c r="E211" s="31"/>
      <c r="F211" s="30"/>
      <c r="G211" s="30"/>
      <c r="H211" s="30"/>
      <c r="I211" s="30"/>
      <c r="J211" s="30"/>
      <c r="K211" s="30"/>
      <c r="L211" s="30"/>
      <c r="M211" s="30"/>
      <c r="N211" s="30"/>
      <c r="O211" s="30"/>
      <c r="P211" s="30"/>
      <c r="Q211" s="30"/>
      <c r="R211" s="30"/>
      <c r="S211" s="30"/>
      <c r="T211" s="30"/>
      <c r="U211" s="30"/>
      <c r="V211" s="30"/>
      <c r="W211" s="30"/>
      <c r="X211" s="30"/>
      <c r="Y211" s="30"/>
      <c r="Z211" s="30"/>
      <c r="AA211" s="30"/>
      <c r="AB211" s="30"/>
      <c r="AC211" s="30"/>
      <c r="AD211" s="30"/>
      <c r="AE211" s="30"/>
      <c r="AF211" s="30"/>
      <c r="AG211" s="30"/>
      <c r="AH211" s="30"/>
      <c r="AI211" s="30"/>
      <c r="AJ211" s="30"/>
      <c r="AK211" s="30"/>
      <c r="AL211" s="30"/>
      <c r="AM211" s="30"/>
    </row>
    <row r="212" spans="3:39">
      <c r="C212" s="31"/>
      <c r="D212" s="31"/>
      <c r="E212" s="31"/>
      <c r="F212" s="30"/>
      <c r="G212" s="30"/>
      <c r="H212" s="30"/>
      <c r="I212" s="30"/>
      <c r="J212" s="30"/>
      <c r="K212" s="30"/>
      <c r="L212" s="30"/>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row>
    <row r="213" spans="3:39">
      <c r="C213" s="31"/>
      <c r="D213" s="31"/>
      <c r="E213" s="31"/>
      <c r="F213" s="30"/>
      <c r="G213" s="30"/>
      <c r="H213" s="30"/>
      <c r="I213" s="30"/>
      <c r="J213" s="30"/>
      <c r="K213" s="30"/>
      <c r="L213" s="30"/>
      <c r="M213" s="30"/>
      <c r="N213" s="30"/>
      <c r="O213" s="30"/>
      <c r="P213" s="30"/>
      <c r="Q213" s="30"/>
      <c r="R213" s="30"/>
      <c r="S213" s="30"/>
      <c r="T213" s="30"/>
      <c r="U213" s="30"/>
      <c r="V213" s="30"/>
      <c r="W213" s="30"/>
      <c r="X213" s="30"/>
      <c r="Y213" s="30"/>
      <c r="Z213" s="30"/>
      <c r="AA213" s="30"/>
      <c r="AB213" s="30"/>
      <c r="AC213" s="30"/>
      <c r="AD213" s="30"/>
      <c r="AE213" s="30"/>
      <c r="AF213" s="30"/>
      <c r="AG213" s="30"/>
      <c r="AH213" s="30"/>
      <c r="AI213" s="30"/>
      <c r="AJ213" s="30"/>
      <c r="AK213" s="30"/>
      <c r="AL213" s="30"/>
      <c r="AM213" s="30"/>
    </row>
    <row r="214" spans="3:39">
      <c r="C214" s="31"/>
      <c r="D214" s="31"/>
      <c r="E214" s="31"/>
      <c r="F214" s="30"/>
      <c r="G214" s="30"/>
      <c r="H214" s="30"/>
      <c r="I214" s="30"/>
      <c r="J214" s="30"/>
      <c r="K214" s="30"/>
      <c r="L214" s="30"/>
      <c r="M214" s="30"/>
      <c r="N214" s="30"/>
      <c r="O214" s="30"/>
      <c r="P214" s="30"/>
      <c r="Q214" s="30"/>
      <c r="R214" s="30"/>
      <c r="S214" s="30"/>
      <c r="T214" s="30"/>
      <c r="U214" s="30"/>
      <c r="V214" s="30"/>
      <c r="W214" s="30"/>
      <c r="X214" s="30"/>
      <c r="Y214" s="30"/>
      <c r="Z214" s="30"/>
      <c r="AA214" s="30"/>
      <c r="AB214" s="30"/>
      <c r="AC214" s="30"/>
      <c r="AD214" s="30"/>
      <c r="AE214" s="30"/>
      <c r="AF214" s="30"/>
      <c r="AG214" s="30"/>
      <c r="AH214" s="30"/>
      <c r="AI214" s="30"/>
      <c r="AJ214" s="30"/>
      <c r="AK214" s="30"/>
      <c r="AL214" s="30"/>
      <c r="AM214" s="30"/>
    </row>
    <row r="215" spans="3:39">
      <c r="C215" s="31"/>
      <c r="D215" s="31"/>
      <c r="E215" s="31"/>
      <c r="F215" s="30"/>
      <c r="G215" s="30"/>
      <c r="H215" s="30"/>
      <c r="I215" s="30"/>
      <c r="J215" s="30"/>
      <c r="K215" s="30"/>
      <c r="L215" s="30"/>
      <c r="M215" s="30"/>
      <c r="N215" s="30"/>
      <c r="O215" s="30"/>
      <c r="P215" s="30"/>
      <c r="Q215" s="30"/>
      <c r="R215" s="30"/>
      <c r="S215" s="30"/>
      <c r="T215" s="30"/>
      <c r="U215" s="30"/>
      <c r="V215" s="30"/>
      <c r="W215" s="30"/>
      <c r="X215" s="30"/>
      <c r="Y215" s="30"/>
      <c r="Z215" s="30"/>
      <c r="AA215" s="30"/>
      <c r="AB215" s="30"/>
      <c r="AC215" s="30"/>
      <c r="AD215" s="30"/>
      <c r="AE215" s="30"/>
      <c r="AF215" s="30"/>
      <c r="AG215" s="30"/>
      <c r="AH215" s="30"/>
      <c r="AI215" s="30"/>
      <c r="AJ215" s="30"/>
      <c r="AK215" s="30"/>
      <c r="AL215" s="30"/>
      <c r="AM215" s="30"/>
    </row>
    <row r="216" spans="3:39">
      <c r="C216" s="31"/>
      <c r="D216" s="31"/>
      <c r="E216" s="31"/>
      <c r="F216" s="30"/>
      <c r="G216" s="30"/>
      <c r="H216" s="30"/>
      <c r="I216" s="30"/>
      <c r="J216" s="30"/>
      <c r="K216" s="30"/>
      <c r="L216" s="30"/>
      <c r="M216" s="30"/>
      <c r="N216" s="30"/>
      <c r="O216" s="30"/>
      <c r="P216" s="30"/>
      <c r="Q216" s="30"/>
      <c r="R216" s="30"/>
      <c r="S216" s="30"/>
      <c r="T216" s="30"/>
      <c r="U216" s="30"/>
      <c r="V216" s="30"/>
      <c r="W216" s="30"/>
      <c r="X216" s="30"/>
      <c r="Y216" s="30"/>
      <c r="Z216" s="30"/>
      <c r="AA216" s="30"/>
      <c r="AB216" s="30"/>
      <c r="AC216" s="30"/>
      <c r="AD216" s="30"/>
      <c r="AE216" s="30"/>
      <c r="AF216" s="30"/>
      <c r="AG216" s="30"/>
      <c r="AH216" s="30"/>
      <c r="AI216" s="30"/>
      <c r="AJ216" s="30"/>
      <c r="AK216" s="30"/>
      <c r="AL216" s="30"/>
      <c r="AM216" s="30"/>
    </row>
    <row r="217" spans="3:39">
      <c r="C217" s="31"/>
      <c r="D217" s="31"/>
      <c r="E217" s="31"/>
      <c r="F217" s="30"/>
      <c r="G217" s="30"/>
      <c r="H217" s="30"/>
      <c r="I217" s="30"/>
      <c r="J217" s="30"/>
      <c r="K217" s="30"/>
      <c r="L217" s="30"/>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row>
    <row r="218" spans="3:39">
      <c r="C218" s="31"/>
      <c r="D218" s="31"/>
      <c r="E218" s="31"/>
      <c r="F218" s="30"/>
      <c r="G218" s="30"/>
      <c r="H218" s="30"/>
      <c r="I218" s="30"/>
      <c r="J218" s="30"/>
      <c r="K218" s="30"/>
      <c r="L218" s="30"/>
      <c r="M218" s="30"/>
      <c r="N218" s="30"/>
      <c r="O218" s="30"/>
      <c r="P218" s="30"/>
      <c r="Q218" s="30"/>
      <c r="R218" s="30"/>
      <c r="S218" s="30"/>
      <c r="T218" s="30"/>
      <c r="U218" s="30"/>
      <c r="V218" s="30"/>
      <c r="W218" s="30"/>
      <c r="X218" s="30"/>
      <c r="Y218" s="30"/>
      <c r="Z218" s="30"/>
      <c r="AA218" s="30"/>
      <c r="AB218" s="30"/>
      <c r="AC218" s="30"/>
      <c r="AD218" s="30"/>
      <c r="AE218" s="30"/>
      <c r="AF218" s="30"/>
      <c r="AG218" s="30"/>
      <c r="AH218" s="30"/>
      <c r="AI218" s="30"/>
      <c r="AJ218" s="30"/>
      <c r="AK218" s="30"/>
      <c r="AL218" s="30"/>
      <c r="AM218" s="30"/>
    </row>
    <row r="219" spans="3:39">
      <c r="C219" s="31"/>
      <c r="D219" s="31"/>
      <c r="E219" s="31"/>
      <c r="F219" s="30"/>
      <c r="G219" s="30"/>
      <c r="H219" s="30"/>
      <c r="I219" s="30"/>
      <c r="J219" s="30"/>
      <c r="K219" s="30"/>
      <c r="L219" s="30"/>
      <c r="M219" s="30"/>
      <c r="N219" s="30"/>
      <c r="O219" s="30"/>
      <c r="P219" s="30"/>
      <c r="Q219" s="30"/>
      <c r="R219" s="30"/>
      <c r="S219" s="30"/>
      <c r="T219" s="30"/>
      <c r="U219" s="30"/>
      <c r="V219" s="30"/>
      <c r="W219" s="30"/>
      <c r="X219" s="30"/>
      <c r="Y219" s="30"/>
      <c r="Z219" s="30"/>
      <c r="AA219" s="30"/>
      <c r="AB219" s="30"/>
      <c r="AC219" s="30"/>
      <c r="AD219" s="30"/>
      <c r="AE219" s="30"/>
      <c r="AF219" s="30"/>
      <c r="AG219" s="30"/>
      <c r="AH219" s="30"/>
      <c r="AI219" s="30"/>
      <c r="AJ219" s="30"/>
      <c r="AK219" s="30"/>
      <c r="AL219" s="30"/>
      <c r="AM219" s="30"/>
    </row>
    <row r="220" spans="3:39">
      <c r="C220" s="31"/>
      <c r="D220" s="31"/>
      <c r="E220" s="31"/>
      <c r="F220" s="30"/>
      <c r="G220" s="30"/>
      <c r="H220" s="30"/>
      <c r="I220" s="30"/>
      <c r="J220" s="30"/>
      <c r="K220" s="30"/>
      <c r="L220" s="30"/>
      <c r="M220" s="30"/>
      <c r="N220" s="30"/>
      <c r="O220" s="30"/>
      <c r="P220" s="30"/>
      <c r="Q220" s="30"/>
      <c r="R220" s="30"/>
      <c r="S220" s="30"/>
      <c r="T220" s="30"/>
      <c r="U220" s="30"/>
      <c r="V220" s="30"/>
      <c r="W220" s="30"/>
      <c r="X220" s="30"/>
      <c r="Y220" s="30"/>
      <c r="Z220" s="30"/>
      <c r="AA220" s="30"/>
      <c r="AB220" s="30"/>
      <c r="AC220" s="30"/>
      <c r="AD220" s="30"/>
      <c r="AE220" s="30"/>
      <c r="AF220" s="30"/>
      <c r="AG220" s="30"/>
      <c r="AH220" s="30"/>
      <c r="AI220" s="30"/>
      <c r="AJ220" s="30"/>
      <c r="AK220" s="30"/>
      <c r="AL220" s="30"/>
      <c r="AM220" s="30"/>
    </row>
    <row r="221" spans="3:39">
      <c r="C221" s="31"/>
      <c r="D221" s="31"/>
      <c r="E221" s="31"/>
      <c r="F221" s="30"/>
      <c r="G221" s="30"/>
      <c r="H221" s="30"/>
      <c r="I221" s="30"/>
      <c r="J221" s="30"/>
      <c r="K221" s="30"/>
      <c r="L221" s="30"/>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row>
    <row r="222" spans="3:39">
      <c r="C222" s="31"/>
      <c r="D222" s="31"/>
      <c r="E222" s="31"/>
      <c r="F222" s="30"/>
      <c r="G222" s="30"/>
      <c r="H222" s="30"/>
      <c r="I222" s="30"/>
      <c r="J222" s="30"/>
      <c r="K222" s="30"/>
      <c r="L222" s="30"/>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row>
    <row r="223" spans="3:39">
      <c r="C223" s="31"/>
      <c r="D223" s="31"/>
      <c r="E223" s="31"/>
      <c r="F223" s="30"/>
      <c r="G223" s="30"/>
      <c r="H223" s="30"/>
      <c r="I223" s="30"/>
      <c r="J223" s="30"/>
      <c r="K223" s="30"/>
      <c r="L223" s="30"/>
      <c r="M223" s="30"/>
      <c r="N223" s="30"/>
      <c r="O223" s="30"/>
      <c r="P223" s="30"/>
      <c r="Q223" s="30"/>
      <c r="R223" s="30"/>
      <c r="S223" s="30"/>
      <c r="T223" s="30"/>
      <c r="U223" s="30"/>
      <c r="V223" s="30"/>
      <c r="W223" s="30"/>
      <c r="X223" s="30"/>
      <c r="Y223" s="30"/>
      <c r="Z223" s="30"/>
      <c r="AA223" s="30"/>
      <c r="AB223" s="30"/>
      <c r="AC223" s="30"/>
      <c r="AD223" s="30"/>
      <c r="AE223" s="30"/>
      <c r="AF223" s="30"/>
      <c r="AG223" s="30"/>
      <c r="AH223" s="30"/>
      <c r="AI223" s="30"/>
      <c r="AJ223" s="30"/>
      <c r="AK223" s="30"/>
      <c r="AL223" s="30"/>
      <c r="AM223" s="30"/>
    </row>
    <row r="224" spans="3:39">
      <c r="C224" s="31"/>
      <c r="D224" s="31"/>
      <c r="E224" s="31"/>
      <c r="F224" s="30"/>
      <c r="G224" s="30"/>
      <c r="H224" s="30"/>
      <c r="I224" s="30"/>
      <c r="J224" s="30"/>
      <c r="K224" s="30"/>
      <c r="L224" s="30"/>
      <c r="M224" s="30"/>
      <c r="N224" s="30"/>
      <c r="O224" s="30"/>
      <c r="P224" s="30"/>
      <c r="Q224" s="30"/>
      <c r="R224" s="30"/>
      <c r="S224" s="30"/>
      <c r="T224" s="30"/>
      <c r="U224" s="30"/>
      <c r="V224" s="30"/>
      <c r="W224" s="30"/>
      <c r="X224" s="30"/>
      <c r="Y224" s="30"/>
      <c r="Z224" s="30"/>
      <c r="AA224" s="30"/>
      <c r="AB224" s="30"/>
      <c r="AC224" s="30"/>
      <c r="AD224" s="30"/>
      <c r="AE224" s="30"/>
      <c r="AF224" s="30"/>
      <c r="AG224" s="30"/>
      <c r="AH224" s="30"/>
      <c r="AI224" s="30"/>
      <c r="AJ224" s="30"/>
      <c r="AK224" s="30"/>
      <c r="AL224" s="30"/>
      <c r="AM224" s="30"/>
    </row>
    <row r="225" spans="3:39">
      <c r="C225" s="31"/>
      <c r="D225" s="31"/>
      <c r="E225" s="31"/>
      <c r="F225" s="30"/>
      <c r="G225" s="30"/>
      <c r="H225" s="30"/>
      <c r="I225" s="30"/>
      <c r="J225" s="30"/>
      <c r="K225" s="30"/>
      <c r="L225" s="30"/>
      <c r="M225" s="30"/>
      <c r="N225" s="30"/>
      <c r="O225" s="30"/>
      <c r="P225" s="30"/>
      <c r="Q225" s="30"/>
      <c r="R225" s="30"/>
      <c r="S225" s="30"/>
      <c r="T225" s="30"/>
      <c r="U225" s="30"/>
      <c r="V225" s="30"/>
      <c r="W225" s="30"/>
      <c r="X225" s="30"/>
      <c r="Y225" s="30"/>
      <c r="Z225" s="30"/>
      <c r="AA225" s="30"/>
      <c r="AB225" s="30"/>
      <c r="AC225" s="30"/>
      <c r="AD225" s="30"/>
      <c r="AE225" s="30"/>
      <c r="AF225" s="30"/>
      <c r="AG225" s="30"/>
      <c r="AH225" s="30"/>
      <c r="AI225" s="30"/>
      <c r="AJ225" s="30"/>
      <c r="AK225" s="30"/>
      <c r="AL225" s="30"/>
      <c r="AM225" s="30"/>
    </row>
    <row r="226" spans="3:39">
      <c r="C226" s="31"/>
      <c r="D226" s="31"/>
      <c r="E226" s="31"/>
      <c r="F226" s="30"/>
      <c r="G226" s="30"/>
      <c r="H226" s="30"/>
      <c r="I226" s="30"/>
      <c r="J226" s="30"/>
      <c r="K226" s="30"/>
      <c r="L226" s="30"/>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row>
    <row r="227" spans="3:39">
      <c r="C227" s="31"/>
      <c r="D227" s="31"/>
      <c r="E227" s="31"/>
      <c r="F227" s="30"/>
      <c r="G227" s="30"/>
      <c r="H227" s="30"/>
      <c r="I227" s="30"/>
      <c r="J227" s="30"/>
      <c r="K227" s="30"/>
      <c r="L227" s="30"/>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row>
    <row r="228" spans="3:39">
      <c r="C228" s="31"/>
      <c r="D228" s="31"/>
      <c r="E228" s="31"/>
      <c r="F228" s="30"/>
      <c r="G228" s="30"/>
      <c r="H228" s="30"/>
      <c r="I228" s="30"/>
      <c r="J228" s="30"/>
      <c r="K228" s="30"/>
      <c r="L228" s="30"/>
      <c r="M228" s="30"/>
      <c r="N228" s="30"/>
      <c r="O228" s="30"/>
      <c r="P228" s="30"/>
      <c r="Q228" s="30"/>
      <c r="R228" s="30"/>
      <c r="S228" s="30"/>
      <c r="T228" s="30"/>
      <c r="U228" s="30"/>
      <c r="V228" s="30"/>
      <c r="W228" s="30"/>
      <c r="X228" s="30"/>
      <c r="Y228" s="30"/>
      <c r="Z228" s="30"/>
      <c r="AA228" s="30"/>
      <c r="AB228" s="30"/>
      <c r="AC228" s="30"/>
      <c r="AD228" s="30"/>
      <c r="AE228" s="30"/>
      <c r="AF228" s="30"/>
      <c r="AG228" s="30"/>
      <c r="AH228" s="30"/>
      <c r="AI228" s="30"/>
      <c r="AJ228" s="30"/>
      <c r="AK228" s="30"/>
      <c r="AL228" s="30"/>
      <c r="AM228" s="30"/>
    </row>
    <row r="229" spans="3:39">
      <c r="C229" s="31"/>
      <c r="D229" s="31"/>
      <c r="E229" s="31"/>
      <c r="F229" s="30"/>
      <c r="G229" s="30"/>
      <c r="H229" s="30"/>
      <c r="I229" s="30"/>
      <c r="J229" s="30"/>
      <c r="K229" s="30"/>
      <c r="L229" s="30"/>
      <c r="M229" s="30"/>
      <c r="N229" s="30"/>
      <c r="O229" s="30"/>
      <c r="P229" s="30"/>
      <c r="Q229" s="30"/>
      <c r="R229" s="30"/>
      <c r="S229" s="30"/>
      <c r="T229" s="30"/>
      <c r="U229" s="30"/>
      <c r="V229" s="30"/>
      <c r="W229" s="30"/>
      <c r="X229" s="30"/>
      <c r="Y229" s="30"/>
      <c r="Z229" s="30"/>
      <c r="AA229" s="30"/>
      <c r="AB229" s="30"/>
      <c r="AC229" s="30"/>
      <c r="AD229" s="30"/>
      <c r="AE229" s="30"/>
      <c r="AF229" s="30"/>
      <c r="AG229" s="30"/>
      <c r="AH229" s="30"/>
      <c r="AI229" s="30"/>
      <c r="AJ229" s="30"/>
      <c r="AK229" s="30"/>
      <c r="AL229" s="30"/>
      <c r="AM229" s="30"/>
    </row>
    <row r="230" spans="3:39">
      <c r="C230" s="31"/>
      <c r="D230" s="31"/>
      <c r="E230" s="31"/>
      <c r="F230" s="30"/>
      <c r="G230" s="30"/>
      <c r="H230" s="30"/>
      <c r="I230" s="30"/>
      <c r="J230" s="30"/>
      <c r="K230" s="30"/>
      <c r="L230" s="30"/>
      <c r="M230" s="30"/>
      <c r="N230" s="30"/>
      <c r="O230" s="30"/>
      <c r="P230" s="30"/>
      <c r="Q230" s="30"/>
      <c r="R230" s="30"/>
      <c r="S230" s="30"/>
      <c r="T230" s="30"/>
      <c r="U230" s="30"/>
      <c r="V230" s="30"/>
      <c r="W230" s="30"/>
      <c r="X230" s="30"/>
      <c r="Y230" s="30"/>
      <c r="Z230" s="30"/>
      <c r="AA230" s="30"/>
      <c r="AB230" s="30"/>
      <c r="AC230" s="30"/>
      <c r="AD230" s="30"/>
      <c r="AE230" s="30"/>
      <c r="AF230" s="30"/>
      <c r="AG230" s="30"/>
      <c r="AH230" s="30"/>
      <c r="AI230" s="30"/>
      <c r="AJ230" s="30"/>
      <c r="AK230" s="30"/>
      <c r="AL230" s="30"/>
      <c r="AM230" s="30"/>
    </row>
    <row r="231" spans="3:39">
      <c r="C231" s="31"/>
      <c r="D231" s="31"/>
      <c r="E231" s="31"/>
      <c r="F231" s="30"/>
      <c r="G231" s="30"/>
      <c r="H231" s="30"/>
      <c r="I231" s="30"/>
      <c r="J231" s="30"/>
      <c r="K231" s="30"/>
      <c r="L231" s="30"/>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row>
    <row r="232" spans="3:39">
      <c r="C232" s="31"/>
      <c r="D232" s="31"/>
      <c r="E232" s="31"/>
      <c r="F232" s="30"/>
      <c r="G232" s="30"/>
      <c r="H232" s="30"/>
      <c r="I232" s="30"/>
      <c r="J232" s="30"/>
      <c r="K232" s="30"/>
      <c r="L232" s="30"/>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row>
    <row r="233" spans="3:39">
      <c r="C233" s="31"/>
      <c r="D233" s="31"/>
      <c r="E233" s="31"/>
      <c r="F233" s="30"/>
      <c r="G233" s="30"/>
      <c r="H233" s="30"/>
      <c r="I233" s="30"/>
      <c r="J233" s="30"/>
      <c r="K233" s="30"/>
      <c r="L233" s="30"/>
      <c r="M233" s="30"/>
      <c r="N233" s="30"/>
      <c r="O233" s="30"/>
      <c r="P233" s="30"/>
      <c r="Q233" s="30"/>
      <c r="R233" s="30"/>
      <c r="S233" s="30"/>
      <c r="T233" s="30"/>
      <c r="U233" s="30"/>
      <c r="V233" s="30"/>
      <c r="W233" s="30"/>
      <c r="X233" s="30"/>
      <c r="Y233" s="30"/>
      <c r="Z233" s="30"/>
      <c r="AA233" s="30"/>
      <c r="AB233" s="30"/>
      <c r="AC233" s="30"/>
      <c r="AD233" s="30"/>
      <c r="AE233" s="30"/>
      <c r="AF233" s="30"/>
      <c r="AG233" s="30"/>
      <c r="AH233" s="30"/>
      <c r="AI233" s="30"/>
      <c r="AJ233" s="30"/>
      <c r="AK233" s="30"/>
      <c r="AL233" s="30"/>
      <c r="AM233" s="30"/>
    </row>
    <row r="234" spans="3:39">
      <c r="C234" s="31"/>
      <c r="D234" s="31"/>
      <c r="E234" s="31"/>
      <c r="F234" s="30"/>
      <c r="G234" s="30"/>
      <c r="H234" s="30"/>
      <c r="I234" s="30"/>
      <c r="J234" s="30"/>
      <c r="K234" s="30"/>
      <c r="L234" s="30"/>
      <c r="M234" s="30"/>
      <c r="N234" s="30"/>
      <c r="O234" s="30"/>
      <c r="P234" s="30"/>
      <c r="Q234" s="30"/>
      <c r="R234" s="30"/>
      <c r="S234" s="30"/>
      <c r="T234" s="30"/>
      <c r="U234" s="30"/>
      <c r="V234" s="30"/>
      <c r="W234" s="30"/>
      <c r="X234" s="30"/>
      <c r="Y234" s="30"/>
      <c r="Z234" s="30"/>
      <c r="AA234" s="30"/>
      <c r="AB234" s="30"/>
      <c r="AC234" s="30"/>
      <c r="AD234" s="30"/>
      <c r="AE234" s="30"/>
      <c r="AF234" s="30"/>
      <c r="AG234" s="30"/>
      <c r="AH234" s="30"/>
      <c r="AI234" s="30"/>
      <c r="AJ234" s="30"/>
      <c r="AK234" s="30"/>
      <c r="AL234" s="30"/>
      <c r="AM234" s="30"/>
    </row>
    <row r="235" spans="3:39">
      <c r="C235" s="31"/>
      <c r="D235" s="31"/>
      <c r="E235" s="31"/>
      <c r="F235" s="30"/>
      <c r="G235" s="30"/>
      <c r="H235" s="30"/>
      <c r="I235" s="30"/>
      <c r="J235" s="30"/>
      <c r="K235" s="30"/>
      <c r="L235" s="30"/>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row>
    <row r="236" spans="3:39">
      <c r="C236" s="31"/>
      <c r="D236" s="31"/>
      <c r="E236" s="31"/>
      <c r="F236" s="30"/>
      <c r="G236" s="30"/>
      <c r="H236" s="30"/>
      <c r="I236" s="30"/>
      <c r="J236" s="30"/>
      <c r="K236" s="30"/>
      <c r="L236" s="30"/>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row>
    <row r="237" spans="3:39">
      <c r="C237" s="31"/>
      <c r="D237" s="31"/>
      <c r="E237" s="31"/>
      <c r="F237" s="30"/>
      <c r="G237" s="30"/>
      <c r="H237" s="30"/>
      <c r="I237" s="30"/>
      <c r="J237" s="30"/>
      <c r="K237" s="30"/>
      <c r="L237" s="30"/>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row>
    <row r="238" spans="3:39">
      <c r="C238" s="31"/>
      <c r="D238" s="31"/>
      <c r="E238" s="31"/>
      <c r="F238" s="30"/>
      <c r="G238" s="30"/>
      <c r="H238" s="30"/>
      <c r="I238" s="30"/>
      <c r="J238" s="30"/>
      <c r="K238" s="30"/>
      <c r="L238" s="30"/>
      <c r="M238" s="30"/>
      <c r="N238" s="30"/>
      <c r="O238" s="30"/>
      <c r="P238" s="30"/>
      <c r="Q238" s="30"/>
      <c r="R238" s="30"/>
      <c r="S238" s="30"/>
      <c r="T238" s="30"/>
      <c r="U238" s="30"/>
      <c r="V238" s="30"/>
      <c r="W238" s="30"/>
      <c r="X238" s="30"/>
      <c r="Y238" s="30"/>
      <c r="Z238" s="30"/>
      <c r="AA238" s="30"/>
      <c r="AB238" s="30"/>
      <c r="AC238" s="30"/>
      <c r="AD238" s="30"/>
      <c r="AE238" s="30"/>
      <c r="AF238" s="30"/>
      <c r="AG238" s="30"/>
      <c r="AH238" s="30"/>
      <c r="AI238" s="30"/>
      <c r="AJ238" s="30"/>
      <c r="AK238" s="30"/>
      <c r="AL238" s="30"/>
      <c r="AM238" s="30"/>
    </row>
    <row r="239" spans="3:39">
      <c r="C239" s="31"/>
      <c r="D239" s="31"/>
      <c r="E239" s="31"/>
      <c r="F239" s="30"/>
      <c r="G239" s="30"/>
      <c r="H239" s="30"/>
      <c r="I239" s="30"/>
      <c r="J239" s="30"/>
      <c r="K239" s="30"/>
      <c r="L239" s="30"/>
      <c r="M239" s="30"/>
      <c r="N239" s="30"/>
      <c r="O239" s="30"/>
      <c r="P239" s="30"/>
      <c r="Q239" s="30"/>
      <c r="R239" s="30"/>
      <c r="S239" s="30"/>
      <c r="T239" s="30"/>
      <c r="U239" s="30"/>
      <c r="V239" s="30"/>
      <c r="W239" s="30"/>
      <c r="X239" s="30"/>
      <c r="Y239" s="30"/>
      <c r="Z239" s="30"/>
      <c r="AA239" s="30"/>
      <c r="AB239" s="30"/>
      <c r="AC239" s="30"/>
      <c r="AD239" s="30"/>
      <c r="AE239" s="30"/>
      <c r="AF239" s="30"/>
      <c r="AG239" s="30"/>
      <c r="AH239" s="30"/>
      <c r="AI239" s="30"/>
      <c r="AJ239" s="30"/>
      <c r="AK239" s="30"/>
      <c r="AL239" s="30"/>
      <c r="AM239" s="30"/>
    </row>
    <row r="240" spans="3:39">
      <c r="C240" s="31"/>
      <c r="D240" s="31"/>
      <c r="E240" s="31"/>
      <c r="F240" s="30"/>
      <c r="G240" s="30"/>
      <c r="H240" s="30"/>
      <c r="I240" s="30"/>
      <c r="J240" s="30"/>
      <c r="K240" s="30"/>
      <c r="L240" s="30"/>
      <c r="M240" s="30"/>
      <c r="N240" s="30"/>
      <c r="O240" s="30"/>
      <c r="P240" s="30"/>
      <c r="Q240" s="30"/>
      <c r="R240" s="30"/>
      <c r="S240" s="30"/>
      <c r="T240" s="30"/>
      <c r="U240" s="30"/>
      <c r="V240" s="30"/>
      <c r="W240" s="30"/>
      <c r="X240" s="30"/>
      <c r="Y240" s="30"/>
      <c r="Z240" s="30"/>
      <c r="AA240" s="30"/>
      <c r="AB240" s="30"/>
      <c r="AC240" s="30"/>
      <c r="AD240" s="30"/>
      <c r="AE240" s="30"/>
      <c r="AF240" s="30"/>
      <c r="AG240" s="30"/>
      <c r="AH240" s="30"/>
      <c r="AI240" s="30"/>
      <c r="AJ240" s="30"/>
      <c r="AK240" s="30"/>
      <c r="AL240" s="30"/>
      <c r="AM240" s="30"/>
    </row>
    <row r="241" spans="3:39">
      <c r="C241" s="31"/>
      <c r="D241" s="31"/>
      <c r="E241" s="31"/>
      <c r="F241" s="30"/>
      <c r="G241" s="30"/>
      <c r="H241" s="30"/>
      <c r="I241" s="30"/>
      <c r="J241" s="30"/>
      <c r="K241" s="30"/>
      <c r="L241" s="30"/>
      <c r="M241" s="30"/>
      <c r="N241" s="30"/>
      <c r="O241" s="30"/>
      <c r="P241" s="30"/>
      <c r="Q241" s="30"/>
      <c r="R241" s="30"/>
      <c r="S241" s="30"/>
      <c r="T241" s="30"/>
      <c r="U241" s="30"/>
      <c r="V241" s="30"/>
      <c r="W241" s="30"/>
      <c r="X241" s="30"/>
      <c r="Y241" s="30"/>
      <c r="Z241" s="30"/>
      <c r="AA241" s="30"/>
      <c r="AB241" s="30"/>
      <c r="AC241" s="30"/>
      <c r="AD241" s="30"/>
      <c r="AE241" s="30"/>
      <c r="AF241" s="30"/>
      <c r="AG241" s="30"/>
      <c r="AH241" s="30"/>
      <c r="AI241" s="30"/>
      <c r="AJ241" s="30"/>
      <c r="AK241" s="30"/>
      <c r="AL241" s="30"/>
      <c r="AM241" s="30"/>
    </row>
    <row r="242" spans="3:39">
      <c r="C242" s="31"/>
      <c r="D242" s="31"/>
      <c r="E242" s="31"/>
      <c r="F242" s="30"/>
      <c r="G242" s="30"/>
      <c r="H242" s="30"/>
      <c r="I242" s="30"/>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row>
    <row r="243" spans="3:39">
      <c r="C243" s="31"/>
      <c r="D243" s="31"/>
      <c r="E243" s="31"/>
      <c r="F243" s="30"/>
      <c r="G243" s="30"/>
      <c r="H243" s="30"/>
      <c r="I243" s="30"/>
      <c r="J243" s="30"/>
      <c r="K243" s="30"/>
      <c r="L243" s="30"/>
      <c r="M243" s="30"/>
      <c r="N243" s="30"/>
      <c r="O243" s="30"/>
      <c r="P243" s="30"/>
      <c r="Q243" s="30"/>
      <c r="R243" s="30"/>
      <c r="S243" s="30"/>
      <c r="T243" s="30"/>
      <c r="U243" s="30"/>
      <c r="V243" s="30"/>
      <c r="W243" s="30"/>
      <c r="X243" s="30"/>
      <c r="Y243" s="30"/>
      <c r="Z243" s="30"/>
      <c r="AA243" s="30"/>
      <c r="AB243" s="30"/>
      <c r="AC243" s="30"/>
      <c r="AD243" s="30"/>
      <c r="AE243" s="30"/>
      <c r="AF243" s="30"/>
      <c r="AG243" s="30"/>
      <c r="AH243" s="30"/>
      <c r="AI243" s="30"/>
      <c r="AJ243" s="30"/>
      <c r="AK243" s="30"/>
      <c r="AL243" s="30"/>
      <c r="AM243" s="30"/>
    </row>
    <row r="244" spans="3:39">
      <c r="C244" s="31"/>
      <c r="D244" s="31"/>
      <c r="E244" s="31"/>
      <c r="F244" s="30"/>
      <c r="G244" s="30"/>
      <c r="H244" s="30"/>
      <c r="I244" s="30"/>
      <c r="J244" s="30"/>
      <c r="K244" s="30"/>
      <c r="L244" s="30"/>
      <c r="M244" s="30"/>
      <c r="N244" s="30"/>
      <c r="O244" s="30"/>
      <c r="P244" s="30"/>
      <c r="Q244" s="30"/>
      <c r="R244" s="30"/>
      <c r="S244" s="30"/>
      <c r="T244" s="30"/>
      <c r="U244" s="30"/>
      <c r="V244" s="30"/>
      <c r="W244" s="30"/>
      <c r="X244" s="30"/>
      <c r="Y244" s="30"/>
      <c r="Z244" s="30"/>
      <c r="AA244" s="30"/>
      <c r="AB244" s="30"/>
      <c r="AC244" s="30"/>
      <c r="AD244" s="30"/>
      <c r="AE244" s="30"/>
      <c r="AF244" s="30"/>
      <c r="AG244" s="30"/>
      <c r="AH244" s="30"/>
      <c r="AI244" s="30"/>
      <c r="AJ244" s="30"/>
      <c r="AK244" s="30"/>
      <c r="AL244" s="30"/>
      <c r="AM244" s="30"/>
    </row>
    <row r="245" spans="3:39">
      <c r="C245" s="31"/>
      <c r="D245" s="31"/>
      <c r="E245" s="31"/>
      <c r="F245" s="30"/>
      <c r="G245" s="30"/>
      <c r="H245" s="30"/>
      <c r="I245" s="30"/>
      <c r="J245" s="30"/>
      <c r="K245" s="30"/>
      <c r="L245" s="30"/>
      <c r="M245" s="30"/>
      <c r="N245" s="30"/>
      <c r="O245" s="30"/>
      <c r="P245" s="30"/>
      <c r="Q245" s="30"/>
      <c r="R245" s="30"/>
      <c r="S245" s="30"/>
      <c r="T245" s="30"/>
      <c r="U245" s="30"/>
      <c r="V245" s="30"/>
      <c r="W245" s="30"/>
      <c r="X245" s="30"/>
      <c r="Y245" s="30"/>
      <c r="Z245" s="30"/>
      <c r="AA245" s="30"/>
      <c r="AB245" s="30"/>
      <c r="AC245" s="30"/>
      <c r="AD245" s="30"/>
      <c r="AE245" s="30"/>
      <c r="AF245" s="30"/>
      <c r="AG245" s="30"/>
      <c r="AH245" s="30"/>
      <c r="AI245" s="30"/>
      <c r="AJ245" s="30"/>
      <c r="AK245" s="30"/>
      <c r="AL245" s="30"/>
      <c r="AM245" s="30"/>
    </row>
    <row r="246" spans="3:39">
      <c r="C246" s="31"/>
      <c r="D246" s="31"/>
      <c r="E246" s="31"/>
      <c r="F246" s="30"/>
      <c r="G246" s="30"/>
      <c r="H246" s="30"/>
      <c r="I246" s="30"/>
      <c r="J246" s="30"/>
      <c r="K246" s="30"/>
      <c r="L246" s="30"/>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row>
    <row r="247" spans="3:39">
      <c r="C247" s="31"/>
      <c r="D247" s="31"/>
      <c r="E247" s="31"/>
      <c r="F247" s="30"/>
      <c r="G247" s="30"/>
      <c r="H247" s="30"/>
      <c r="I247" s="30"/>
      <c r="J247" s="30"/>
      <c r="K247" s="30"/>
      <c r="L247" s="30"/>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row>
    <row r="248" spans="3:39">
      <c r="C248" s="31"/>
      <c r="D248" s="31"/>
      <c r="E248" s="31"/>
      <c r="F248" s="30"/>
      <c r="G248" s="30"/>
      <c r="H248" s="30"/>
      <c r="I248" s="30"/>
      <c r="J248" s="30"/>
      <c r="K248" s="30"/>
      <c r="L248" s="30"/>
      <c r="M248" s="30"/>
      <c r="N248" s="30"/>
      <c r="O248" s="30"/>
      <c r="P248" s="30"/>
      <c r="Q248" s="30"/>
      <c r="R248" s="30"/>
      <c r="S248" s="30"/>
      <c r="T248" s="30"/>
      <c r="U248" s="30"/>
      <c r="V248" s="30"/>
      <c r="W248" s="30"/>
      <c r="X248" s="30"/>
      <c r="Y248" s="30"/>
      <c r="Z248" s="30"/>
      <c r="AA248" s="30"/>
      <c r="AB248" s="30"/>
      <c r="AC248" s="30"/>
      <c r="AD248" s="30"/>
      <c r="AE248" s="30"/>
      <c r="AF248" s="30"/>
      <c r="AG248" s="30"/>
      <c r="AH248" s="30"/>
      <c r="AI248" s="30"/>
      <c r="AJ248" s="30"/>
      <c r="AK248" s="30"/>
      <c r="AL248" s="30"/>
      <c r="AM248" s="30"/>
    </row>
    <row r="249" spans="3:39">
      <c r="C249" s="31"/>
      <c r="D249" s="31"/>
      <c r="E249" s="31"/>
      <c r="F249" s="30"/>
      <c r="G249" s="30"/>
      <c r="H249" s="30"/>
      <c r="I249" s="30"/>
      <c r="J249" s="30"/>
      <c r="K249" s="30"/>
      <c r="L249" s="30"/>
      <c r="M249" s="30"/>
      <c r="N249" s="30"/>
      <c r="O249" s="30"/>
      <c r="P249" s="30"/>
      <c r="Q249" s="30"/>
      <c r="R249" s="30"/>
      <c r="S249" s="30"/>
      <c r="T249" s="30"/>
      <c r="U249" s="30"/>
      <c r="V249" s="30"/>
      <c r="W249" s="30"/>
      <c r="X249" s="30"/>
      <c r="Y249" s="30"/>
      <c r="Z249" s="30"/>
      <c r="AA249" s="30"/>
      <c r="AB249" s="30"/>
      <c r="AC249" s="30"/>
      <c r="AD249" s="30"/>
      <c r="AE249" s="30"/>
      <c r="AF249" s="30"/>
      <c r="AG249" s="30"/>
      <c r="AH249" s="30"/>
      <c r="AI249" s="30"/>
      <c r="AJ249" s="30"/>
      <c r="AK249" s="30"/>
      <c r="AL249" s="30"/>
      <c r="AM249" s="30"/>
    </row>
    <row r="250" spans="3:39">
      <c r="C250" s="31"/>
      <c r="D250" s="31"/>
      <c r="E250" s="31"/>
      <c r="F250" s="30"/>
      <c r="G250" s="30"/>
      <c r="H250" s="30"/>
      <c r="I250" s="30"/>
      <c r="J250" s="30"/>
      <c r="K250" s="30"/>
      <c r="L250" s="30"/>
      <c r="M250" s="30"/>
      <c r="N250" s="30"/>
      <c r="O250" s="30"/>
      <c r="P250" s="30"/>
      <c r="Q250" s="30"/>
      <c r="R250" s="30"/>
      <c r="S250" s="30"/>
      <c r="T250" s="30"/>
      <c r="U250" s="30"/>
      <c r="V250" s="30"/>
      <c r="W250" s="30"/>
      <c r="X250" s="30"/>
      <c r="Y250" s="30"/>
      <c r="Z250" s="30"/>
      <c r="AA250" s="30"/>
      <c r="AB250" s="30"/>
      <c r="AC250" s="30"/>
      <c r="AD250" s="30"/>
      <c r="AE250" s="30"/>
      <c r="AF250" s="30"/>
      <c r="AG250" s="30"/>
      <c r="AH250" s="30"/>
      <c r="AI250" s="30"/>
      <c r="AJ250" s="30"/>
      <c r="AK250" s="30"/>
      <c r="AL250" s="30"/>
      <c r="AM250" s="30"/>
    </row>
    <row r="251" spans="3:39">
      <c r="C251" s="31"/>
      <c r="D251" s="31"/>
      <c r="E251" s="31"/>
      <c r="F251" s="30"/>
      <c r="G251" s="30"/>
      <c r="H251" s="30"/>
      <c r="I251" s="30"/>
      <c r="J251" s="30"/>
      <c r="K251" s="30"/>
      <c r="L251" s="30"/>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row>
    <row r="252" spans="3:39">
      <c r="C252" s="31"/>
      <c r="D252" s="31"/>
      <c r="E252" s="31"/>
      <c r="F252" s="30"/>
      <c r="G252" s="30"/>
      <c r="H252" s="30"/>
      <c r="I252" s="30"/>
      <c r="J252" s="30"/>
      <c r="K252" s="30"/>
      <c r="L252" s="30"/>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row>
    <row r="253" spans="3:39">
      <c r="C253" s="31"/>
      <c r="D253" s="31"/>
      <c r="E253" s="31"/>
      <c r="F253" s="30"/>
      <c r="G253" s="30"/>
      <c r="H253" s="30"/>
      <c r="I253" s="30"/>
      <c r="J253" s="30"/>
      <c r="K253" s="30"/>
      <c r="L253" s="30"/>
      <c r="M253" s="30"/>
      <c r="N253" s="30"/>
      <c r="O253" s="30"/>
      <c r="P253" s="30"/>
      <c r="Q253" s="30"/>
      <c r="R253" s="30"/>
      <c r="S253" s="30"/>
      <c r="T253" s="30"/>
      <c r="U253" s="30"/>
      <c r="V253" s="30"/>
      <c r="W253" s="30"/>
      <c r="X253" s="30"/>
      <c r="Y253" s="30"/>
      <c r="Z253" s="30"/>
      <c r="AA253" s="30"/>
      <c r="AB253" s="30"/>
      <c r="AC253" s="30"/>
      <c r="AD253" s="30"/>
      <c r="AE253" s="30"/>
      <c r="AF253" s="30"/>
      <c r="AG253" s="30"/>
      <c r="AH253" s="30"/>
      <c r="AI253" s="30"/>
      <c r="AJ253" s="30"/>
      <c r="AK253" s="30"/>
      <c r="AL253" s="30"/>
      <c r="AM253" s="30"/>
    </row>
    <row r="254" spans="3:39">
      <c r="C254" s="31"/>
      <c r="D254" s="31"/>
      <c r="E254" s="31"/>
      <c r="F254" s="30"/>
      <c r="G254" s="30"/>
      <c r="H254" s="30"/>
      <c r="I254" s="30"/>
      <c r="J254" s="30"/>
      <c r="K254" s="30"/>
      <c r="L254" s="30"/>
      <c r="M254" s="30"/>
      <c r="N254" s="30"/>
      <c r="O254" s="30"/>
      <c r="P254" s="30"/>
      <c r="Q254" s="30"/>
      <c r="R254" s="30"/>
      <c r="S254" s="30"/>
      <c r="T254" s="30"/>
      <c r="U254" s="30"/>
      <c r="V254" s="30"/>
      <c r="W254" s="30"/>
      <c r="X254" s="30"/>
      <c r="Y254" s="30"/>
      <c r="Z254" s="30"/>
      <c r="AA254" s="30"/>
      <c r="AB254" s="30"/>
      <c r="AC254" s="30"/>
      <c r="AD254" s="30"/>
      <c r="AE254" s="30"/>
      <c r="AF254" s="30"/>
      <c r="AG254" s="30"/>
      <c r="AH254" s="30"/>
      <c r="AI254" s="30"/>
      <c r="AJ254" s="30"/>
      <c r="AK254" s="30"/>
      <c r="AL254" s="30"/>
      <c r="AM254" s="30"/>
    </row>
    <row r="255" spans="3:39">
      <c r="C255" s="31"/>
      <c r="D255" s="31"/>
      <c r="E255" s="31"/>
      <c r="F255" s="30"/>
      <c r="G255" s="30"/>
      <c r="H255" s="30"/>
      <c r="I255" s="30"/>
      <c r="J255" s="30"/>
      <c r="K255" s="30"/>
      <c r="L255" s="30"/>
      <c r="M255" s="30"/>
      <c r="N255" s="30"/>
      <c r="O255" s="30"/>
      <c r="P255" s="30"/>
      <c r="Q255" s="30"/>
      <c r="R255" s="30"/>
      <c r="S255" s="30"/>
      <c r="T255" s="30"/>
      <c r="U255" s="30"/>
      <c r="V255" s="30"/>
      <c r="W255" s="30"/>
      <c r="X255" s="30"/>
      <c r="Y255" s="30"/>
      <c r="Z255" s="30"/>
      <c r="AA255" s="30"/>
      <c r="AB255" s="30"/>
      <c r="AC255" s="30"/>
      <c r="AD255" s="30"/>
      <c r="AE255" s="30"/>
      <c r="AF255" s="30"/>
      <c r="AG255" s="30"/>
      <c r="AH255" s="30"/>
      <c r="AI255" s="30"/>
      <c r="AJ255" s="30"/>
      <c r="AK255" s="30"/>
      <c r="AL255" s="30"/>
      <c r="AM255" s="30"/>
    </row>
    <row r="256" spans="3:39">
      <c r="C256" s="31"/>
      <c r="D256" s="31"/>
      <c r="E256" s="31"/>
      <c r="F256" s="30"/>
      <c r="G256" s="30"/>
      <c r="H256" s="30"/>
      <c r="I256" s="30"/>
      <c r="J256" s="30"/>
      <c r="K256" s="30"/>
      <c r="L256" s="30"/>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row>
    <row r="257" spans="3:39">
      <c r="C257" s="31"/>
      <c r="D257" s="31"/>
      <c r="E257" s="31"/>
      <c r="F257" s="30"/>
      <c r="G257" s="30"/>
      <c r="H257" s="30"/>
      <c r="I257" s="30"/>
      <c r="J257" s="30"/>
      <c r="K257" s="30"/>
      <c r="L257" s="30"/>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row>
    <row r="258" spans="3:39">
      <c r="C258" s="31"/>
      <c r="D258" s="31"/>
      <c r="E258" s="31"/>
      <c r="F258" s="30"/>
      <c r="G258" s="30"/>
      <c r="H258" s="30"/>
      <c r="I258" s="30"/>
      <c r="J258" s="30"/>
      <c r="K258" s="30"/>
      <c r="L258" s="30"/>
      <c r="M258" s="30"/>
      <c r="N258" s="30"/>
      <c r="O258" s="30"/>
      <c r="P258" s="30"/>
      <c r="Q258" s="30"/>
      <c r="R258" s="30"/>
      <c r="S258" s="30"/>
      <c r="T258" s="30"/>
      <c r="U258" s="30"/>
      <c r="V258" s="30"/>
      <c r="W258" s="30"/>
      <c r="X258" s="30"/>
      <c r="Y258" s="30"/>
      <c r="Z258" s="30"/>
      <c r="AA258" s="30"/>
      <c r="AB258" s="30"/>
      <c r="AC258" s="30"/>
      <c r="AD258" s="30"/>
      <c r="AE258" s="30"/>
      <c r="AF258" s="30"/>
      <c r="AG258" s="30"/>
      <c r="AH258" s="30"/>
      <c r="AI258" s="30"/>
      <c r="AJ258" s="30"/>
      <c r="AK258" s="30"/>
      <c r="AL258" s="30"/>
      <c r="AM258" s="30"/>
    </row>
    <row r="259" spans="3:39">
      <c r="C259" s="31"/>
      <c r="D259" s="31"/>
      <c r="E259" s="31"/>
      <c r="F259" s="30"/>
      <c r="G259" s="30"/>
      <c r="H259" s="30"/>
      <c r="I259" s="30"/>
      <c r="J259" s="30"/>
      <c r="K259" s="30"/>
      <c r="L259" s="30"/>
      <c r="M259" s="30"/>
      <c r="N259" s="30"/>
      <c r="O259" s="30"/>
      <c r="P259" s="30"/>
      <c r="Q259" s="30"/>
      <c r="R259" s="30"/>
      <c r="S259" s="30"/>
      <c r="T259" s="30"/>
      <c r="U259" s="30"/>
      <c r="V259" s="30"/>
      <c r="W259" s="30"/>
      <c r="X259" s="30"/>
      <c r="Y259" s="30"/>
      <c r="Z259" s="30"/>
      <c r="AA259" s="30"/>
      <c r="AB259" s="30"/>
      <c r="AC259" s="30"/>
      <c r="AD259" s="30"/>
      <c r="AE259" s="30"/>
      <c r="AF259" s="30"/>
      <c r="AG259" s="30"/>
      <c r="AH259" s="30"/>
      <c r="AI259" s="30"/>
      <c r="AJ259" s="30"/>
      <c r="AK259" s="30"/>
      <c r="AL259" s="30"/>
      <c r="AM259" s="30"/>
    </row>
    <row r="260" spans="3:39">
      <c r="C260" s="31"/>
      <c r="D260" s="31"/>
      <c r="E260" s="31"/>
      <c r="F260" s="30"/>
      <c r="G260" s="30"/>
      <c r="H260" s="30"/>
      <c r="I260" s="30"/>
      <c r="J260" s="30"/>
      <c r="K260" s="30"/>
      <c r="L260" s="30"/>
      <c r="M260" s="30"/>
      <c r="N260" s="30"/>
      <c r="O260" s="30"/>
      <c r="P260" s="30"/>
      <c r="Q260" s="30"/>
      <c r="R260" s="30"/>
      <c r="S260" s="30"/>
      <c r="T260" s="30"/>
      <c r="U260" s="30"/>
      <c r="V260" s="30"/>
      <c r="W260" s="30"/>
      <c r="X260" s="30"/>
      <c r="Y260" s="30"/>
      <c r="Z260" s="30"/>
      <c r="AA260" s="30"/>
      <c r="AB260" s="30"/>
      <c r="AC260" s="30"/>
      <c r="AD260" s="30"/>
      <c r="AE260" s="30"/>
      <c r="AF260" s="30"/>
      <c r="AG260" s="30"/>
      <c r="AH260" s="30"/>
      <c r="AI260" s="30"/>
      <c r="AJ260" s="30"/>
      <c r="AK260" s="30"/>
      <c r="AL260" s="30"/>
      <c r="AM260" s="30"/>
    </row>
    <row r="261" spans="3:39">
      <c r="C261" s="31"/>
      <c r="D261" s="31"/>
      <c r="E261" s="31"/>
      <c r="F261" s="30"/>
      <c r="G261" s="30"/>
      <c r="H261" s="30"/>
      <c r="I261" s="30"/>
      <c r="J261" s="30"/>
      <c r="K261" s="30"/>
      <c r="L261" s="30"/>
      <c r="M261" s="30"/>
      <c r="N261" s="30"/>
      <c r="O261" s="30"/>
      <c r="P261" s="30"/>
      <c r="Q261" s="30"/>
      <c r="R261" s="30"/>
      <c r="S261" s="30"/>
      <c r="T261" s="30"/>
      <c r="U261" s="30"/>
      <c r="V261" s="30"/>
      <c r="W261" s="30"/>
      <c r="X261" s="30"/>
      <c r="Y261" s="30"/>
      <c r="Z261" s="30"/>
      <c r="AA261" s="30"/>
      <c r="AB261" s="30"/>
      <c r="AC261" s="30"/>
      <c r="AD261" s="30"/>
      <c r="AE261" s="30"/>
      <c r="AF261" s="30"/>
      <c r="AG261" s="30"/>
      <c r="AH261" s="30"/>
      <c r="AI261" s="30"/>
      <c r="AJ261" s="30"/>
      <c r="AK261" s="30"/>
      <c r="AL261" s="30"/>
      <c r="AM261" s="30"/>
    </row>
    <row r="262" spans="3:39">
      <c r="C262" s="31"/>
      <c r="D262" s="31"/>
      <c r="E262" s="31"/>
      <c r="F262" s="30"/>
      <c r="G262" s="30"/>
      <c r="H262" s="30"/>
      <c r="I262" s="30"/>
      <c r="J262" s="30"/>
      <c r="K262" s="30"/>
      <c r="L262" s="30"/>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row>
    <row r="263" spans="3:39">
      <c r="C263" s="31"/>
      <c r="D263" s="31"/>
      <c r="E263" s="31"/>
      <c r="F263" s="30"/>
      <c r="G263" s="30"/>
      <c r="H263" s="30"/>
      <c r="I263" s="30"/>
      <c r="J263" s="30"/>
      <c r="K263" s="30"/>
      <c r="L263" s="30"/>
      <c r="M263" s="30"/>
      <c r="N263" s="30"/>
      <c r="O263" s="30"/>
      <c r="P263" s="30"/>
      <c r="Q263" s="30"/>
      <c r="R263" s="30"/>
      <c r="S263" s="30"/>
      <c r="T263" s="30"/>
      <c r="U263" s="30"/>
      <c r="V263" s="30"/>
      <c r="W263" s="30"/>
      <c r="X263" s="30"/>
      <c r="Y263" s="30"/>
      <c r="Z263" s="30"/>
      <c r="AA263" s="30"/>
      <c r="AB263" s="30"/>
      <c r="AC263" s="30"/>
      <c r="AD263" s="30"/>
      <c r="AE263" s="30"/>
      <c r="AF263" s="30"/>
      <c r="AG263" s="30"/>
      <c r="AH263" s="30"/>
      <c r="AI263" s="30"/>
      <c r="AJ263" s="30"/>
      <c r="AK263" s="30"/>
      <c r="AL263" s="30"/>
      <c r="AM263" s="30"/>
    </row>
    <row r="264" spans="3:39">
      <c r="C264" s="31"/>
      <c r="D264" s="31"/>
      <c r="E264" s="31"/>
      <c r="F264" s="30"/>
      <c r="G264" s="30"/>
      <c r="H264" s="30"/>
      <c r="I264" s="30"/>
      <c r="J264" s="30"/>
      <c r="K264" s="30"/>
      <c r="L264" s="30"/>
      <c r="M264" s="30"/>
      <c r="N264" s="30"/>
      <c r="O264" s="30"/>
      <c r="P264" s="30"/>
      <c r="Q264" s="30"/>
      <c r="R264" s="30"/>
      <c r="S264" s="30"/>
      <c r="T264" s="30"/>
      <c r="U264" s="30"/>
      <c r="V264" s="30"/>
      <c r="W264" s="30"/>
      <c r="X264" s="30"/>
      <c r="Y264" s="30"/>
      <c r="Z264" s="30"/>
      <c r="AA264" s="30"/>
      <c r="AB264" s="30"/>
      <c r="AC264" s="30"/>
      <c r="AD264" s="30"/>
      <c r="AE264" s="30"/>
      <c r="AF264" s="30"/>
      <c r="AG264" s="30"/>
      <c r="AH264" s="30"/>
      <c r="AI264" s="30"/>
      <c r="AJ264" s="30"/>
      <c r="AK264" s="30"/>
      <c r="AL264" s="30"/>
      <c r="AM264" s="30"/>
    </row>
    <row r="265" spans="3:39">
      <c r="C265" s="31"/>
      <c r="D265" s="31"/>
      <c r="E265" s="31"/>
      <c r="F265" s="30"/>
      <c r="G265" s="30"/>
      <c r="H265" s="30"/>
      <c r="I265" s="30"/>
      <c r="J265" s="30"/>
      <c r="K265" s="30"/>
      <c r="L265" s="30"/>
      <c r="M265" s="30"/>
      <c r="N265" s="30"/>
      <c r="O265" s="30"/>
      <c r="P265" s="30"/>
      <c r="Q265" s="30"/>
      <c r="R265" s="30"/>
      <c r="S265" s="30"/>
      <c r="T265" s="30"/>
      <c r="U265" s="30"/>
      <c r="V265" s="30"/>
      <c r="W265" s="30"/>
      <c r="X265" s="30"/>
      <c r="Y265" s="30"/>
      <c r="Z265" s="30"/>
      <c r="AA265" s="30"/>
      <c r="AB265" s="30"/>
      <c r="AC265" s="30"/>
      <c r="AD265" s="30"/>
      <c r="AE265" s="30"/>
      <c r="AF265" s="30"/>
      <c r="AG265" s="30"/>
      <c r="AH265" s="30"/>
      <c r="AI265" s="30"/>
      <c r="AJ265" s="30"/>
      <c r="AK265" s="30"/>
      <c r="AL265" s="30"/>
      <c r="AM265" s="30"/>
    </row>
    <row r="266" spans="3:39">
      <c r="C266" s="31"/>
      <c r="D266" s="31"/>
      <c r="E266" s="31"/>
      <c r="F266" s="30"/>
      <c r="G266" s="30"/>
      <c r="H266" s="30"/>
      <c r="I266" s="30"/>
      <c r="J266" s="30"/>
      <c r="K266" s="30"/>
      <c r="L266" s="30"/>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row>
    <row r="267" spans="3:39">
      <c r="C267" s="31"/>
      <c r="D267" s="31"/>
      <c r="E267" s="31"/>
      <c r="F267" s="30"/>
      <c r="G267" s="30"/>
      <c r="H267" s="30"/>
      <c r="I267" s="30"/>
      <c r="J267" s="30"/>
      <c r="K267" s="30"/>
      <c r="L267" s="30"/>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row>
    <row r="268" spans="3:39">
      <c r="C268" s="31"/>
      <c r="D268" s="31"/>
      <c r="E268" s="31"/>
      <c r="F268" s="30"/>
      <c r="G268" s="30"/>
      <c r="H268" s="30"/>
      <c r="I268" s="30"/>
      <c r="J268" s="30"/>
      <c r="K268" s="30"/>
      <c r="L268" s="30"/>
      <c r="M268" s="30"/>
      <c r="N268" s="30"/>
      <c r="O268" s="30"/>
      <c r="P268" s="30"/>
      <c r="Q268" s="30"/>
      <c r="R268" s="30"/>
      <c r="S268" s="30"/>
      <c r="T268" s="30"/>
      <c r="U268" s="30"/>
      <c r="V268" s="30"/>
      <c r="W268" s="30"/>
      <c r="X268" s="30"/>
      <c r="Y268" s="30"/>
      <c r="Z268" s="30"/>
      <c r="AA268" s="30"/>
      <c r="AB268" s="30"/>
      <c r="AC268" s="30"/>
      <c r="AD268" s="30"/>
      <c r="AE268" s="30"/>
      <c r="AF268" s="30"/>
      <c r="AG268" s="30"/>
      <c r="AH268" s="30"/>
      <c r="AI268" s="30"/>
      <c r="AJ268" s="30"/>
      <c r="AK268" s="30"/>
      <c r="AL268" s="30"/>
      <c r="AM268" s="30"/>
    </row>
    <row r="269" spans="3:39">
      <c r="C269" s="31"/>
      <c r="D269" s="31"/>
      <c r="E269" s="31"/>
      <c r="F269" s="30"/>
      <c r="G269" s="30"/>
      <c r="H269" s="30"/>
      <c r="I269" s="30"/>
      <c r="J269" s="30"/>
      <c r="K269" s="30"/>
      <c r="L269" s="30"/>
      <c r="M269" s="30"/>
      <c r="N269" s="30"/>
      <c r="O269" s="30"/>
      <c r="P269" s="30"/>
      <c r="Q269" s="30"/>
      <c r="R269" s="30"/>
      <c r="S269" s="30"/>
      <c r="T269" s="30"/>
      <c r="U269" s="30"/>
      <c r="V269" s="30"/>
      <c r="W269" s="30"/>
      <c r="X269" s="30"/>
      <c r="Y269" s="30"/>
      <c r="Z269" s="30"/>
      <c r="AA269" s="30"/>
      <c r="AB269" s="30"/>
      <c r="AC269" s="30"/>
      <c r="AD269" s="30"/>
      <c r="AE269" s="30"/>
      <c r="AF269" s="30"/>
      <c r="AG269" s="30"/>
      <c r="AH269" s="30"/>
      <c r="AI269" s="30"/>
      <c r="AJ269" s="30"/>
      <c r="AK269" s="30"/>
      <c r="AL269" s="30"/>
      <c r="AM269" s="30"/>
    </row>
    <row r="270" spans="3:39">
      <c r="C270" s="31"/>
      <c r="D270" s="31"/>
      <c r="E270" s="31"/>
      <c r="F270" s="30"/>
      <c r="G270" s="30"/>
      <c r="H270" s="30"/>
      <c r="I270" s="30"/>
      <c r="J270" s="30"/>
      <c r="K270" s="30"/>
      <c r="L270" s="30"/>
      <c r="M270" s="30"/>
      <c r="N270" s="30"/>
      <c r="O270" s="30"/>
      <c r="P270" s="30"/>
      <c r="Q270" s="30"/>
      <c r="R270" s="30"/>
      <c r="S270" s="30"/>
      <c r="T270" s="30"/>
      <c r="U270" s="30"/>
      <c r="V270" s="30"/>
      <c r="W270" s="30"/>
      <c r="X270" s="30"/>
      <c r="Y270" s="30"/>
      <c r="Z270" s="30"/>
      <c r="AA270" s="30"/>
      <c r="AB270" s="30"/>
      <c r="AC270" s="30"/>
      <c r="AD270" s="30"/>
      <c r="AE270" s="30"/>
      <c r="AF270" s="30"/>
      <c r="AG270" s="30"/>
      <c r="AH270" s="30"/>
      <c r="AI270" s="30"/>
      <c r="AJ270" s="30"/>
      <c r="AK270" s="30"/>
      <c r="AL270" s="30"/>
      <c r="AM270" s="30"/>
    </row>
    <row r="271" spans="3:39">
      <c r="C271" s="31"/>
      <c r="D271" s="31"/>
      <c r="E271" s="31"/>
      <c r="F271" s="30"/>
      <c r="G271" s="30"/>
      <c r="H271" s="30"/>
      <c r="I271" s="30"/>
      <c r="J271" s="30"/>
      <c r="K271" s="30"/>
      <c r="L271" s="30"/>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row>
    <row r="272" spans="3:39">
      <c r="C272" s="31"/>
      <c r="D272" s="31"/>
      <c r="E272" s="31"/>
      <c r="F272" s="30"/>
      <c r="G272" s="30"/>
      <c r="H272" s="30"/>
      <c r="I272" s="30"/>
      <c r="J272" s="30"/>
      <c r="K272" s="30"/>
      <c r="L272" s="30"/>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row>
    <row r="273" spans="3:39">
      <c r="C273" s="31"/>
      <c r="D273" s="31"/>
      <c r="E273" s="31"/>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c r="AF273" s="30"/>
      <c r="AG273" s="30"/>
      <c r="AH273" s="30"/>
      <c r="AI273" s="30"/>
      <c r="AJ273" s="30"/>
      <c r="AK273" s="30"/>
      <c r="AL273" s="30"/>
      <c r="AM273" s="30"/>
    </row>
    <row r="274" spans="3:39">
      <c r="C274" s="31"/>
      <c r="D274" s="31"/>
      <c r="E274" s="31"/>
      <c r="F274" s="30"/>
      <c r="G274" s="30"/>
      <c r="H274" s="30"/>
      <c r="I274" s="30"/>
      <c r="J274" s="30"/>
      <c r="K274" s="30"/>
      <c r="L274" s="30"/>
      <c r="M274" s="30"/>
      <c r="N274" s="30"/>
      <c r="O274" s="30"/>
      <c r="P274" s="30"/>
      <c r="Q274" s="30"/>
      <c r="R274" s="30"/>
      <c r="S274" s="30"/>
      <c r="T274" s="30"/>
      <c r="U274" s="30"/>
      <c r="V274" s="30"/>
      <c r="W274" s="30"/>
      <c r="X274" s="30"/>
      <c r="Y274" s="30"/>
      <c r="Z274" s="30"/>
      <c r="AA274" s="30"/>
      <c r="AB274" s="30"/>
      <c r="AC274" s="30"/>
      <c r="AD274" s="30"/>
      <c r="AE274" s="30"/>
      <c r="AF274" s="30"/>
      <c r="AG274" s="30"/>
      <c r="AH274" s="30"/>
      <c r="AI274" s="30"/>
      <c r="AJ274" s="30"/>
      <c r="AK274" s="30"/>
      <c r="AL274" s="30"/>
      <c r="AM274" s="30"/>
    </row>
    <row r="275" spans="3:39">
      <c r="C275" s="31"/>
      <c r="D275" s="31"/>
      <c r="E275" s="31"/>
      <c r="F275" s="30"/>
      <c r="G275" s="30"/>
      <c r="H275" s="30"/>
      <c r="I275" s="30"/>
      <c r="J275" s="30"/>
      <c r="K275" s="30"/>
      <c r="L275" s="30"/>
      <c r="M275" s="30"/>
      <c r="N275" s="30"/>
      <c r="O275" s="30"/>
      <c r="P275" s="30"/>
      <c r="Q275" s="30"/>
      <c r="R275" s="30"/>
      <c r="S275" s="30"/>
      <c r="T275" s="30"/>
      <c r="U275" s="30"/>
      <c r="V275" s="30"/>
      <c r="W275" s="30"/>
      <c r="X275" s="30"/>
      <c r="Y275" s="30"/>
      <c r="Z275" s="30"/>
      <c r="AA275" s="30"/>
      <c r="AB275" s="30"/>
      <c r="AC275" s="30"/>
      <c r="AD275" s="30"/>
      <c r="AE275" s="30"/>
      <c r="AF275" s="30"/>
      <c r="AG275" s="30"/>
      <c r="AH275" s="30"/>
      <c r="AI275" s="30"/>
      <c r="AJ275" s="30"/>
      <c r="AK275" s="30"/>
      <c r="AL275" s="30"/>
      <c r="AM275" s="30"/>
    </row>
    <row r="276" spans="3:39">
      <c r="C276" s="31"/>
      <c r="D276" s="31"/>
      <c r="E276" s="31"/>
      <c r="F276" s="30"/>
      <c r="G276" s="30"/>
      <c r="H276" s="30"/>
      <c r="I276" s="30"/>
      <c r="J276" s="30"/>
      <c r="K276" s="30"/>
      <c r="L276" s="30"/>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row>
    <row r="277" spans="3:39">
      <c r="C277" s="31"/>
      <c r="D277" s="31"/>
      <c r="E277" s="31"/>
      <c r="F277" s="30"/>
      <c r="G277" s="30"/>
      <c r="H277" s="30"/>
      <c r="I277" s="30"/>
      <c r="J277" s="30"/>
      <c r="K277" s="30"/>
      <c r="L277" s="30"/>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row>
    <row r="278" spans="3:39">
      <c r="C278" s="31"/>
      <c r="D278" s="31"/>
      <c r="E278" s="31"/>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c r="AF278" s="30"/>
      <c r="AG278" s="30"/>
      <c r="AH278" s="30"/>
      <c r="AI278" s="30"/>
      <c r="AJ278" s="30"/>
      <c r="AK278" s="30"/>
      <c r="AL278" s="30"/>
      <c r="AM278" s="30"/>
    </row>
    <row r="279" spans="3:39">
      <c r="C279" s="31"/>
      <c r="D279" s="31"/>
      <c r="E279" s="31"/>
      <c r="F279" s="30"/>
      <c r="G279" s="30"/>
      <c r="H279" s="30"/>
      <c r="I279" s="30"/>
      <c r="J279" s="30"/>
      <c r="K279" s="30"/>
      <c r="L279" s="30"/>
      <c r="M279" s="30"/>
      <c r="N279" s="30"/>
      <c r="O279" s="30"/>
      <c r="P279" s="30"/>
      <c r="Q279" s="30"/>
      <c r="R279" s="30"/>
      <c r="S279" s="30"/>
      <c r="T279" s="30"/>
      <c r="U279" s="30"/>
      <c r="V279" s="30"/>
      <c r="W279" s="30"/>
      <c r="X279" s="30"/>
      <c r="Y279" s="30"/>
      <c r="Z279" s="30"/>
      <c r="AA279" s="30"/>
      <c r="AB279" s="30"/>
      <c r="AC279" s="30"/>
      <c r="AD279" s="30"/>
      <c r="AE279" s="30"/>
      <c r="AF279" s="30"/>
      <c r="AG279" s="30"/>
      <c r="AH279" s="30"/>
      <c r="AI279" s="30"/>
      <c r="AJ279" s="30"/>
      <c r="AK279" s="30"/>
      <c r="AL279" s="30"/>
      <c r="AM279" s="30"/>
    </row>
    <row r="280" spans="3:39">
      <c r="C280" s="31"/>
      <c r="D280" s="31"/>
      <c r="E280" s="31"/>
      <c r="F280" s="30"/>
      <c r="G280" s="30"/>
      <c r="H280" s="30"/>
      <c r="I280" s="30"/>
      <c r="J280" s="30"/>
      <c r="K280" s="30"/>
      <c r="L280" s="30"/>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row>
    <row r="281" spans="3:39">
      <c r="C281" s="31"/>
      <c r="D281" s="31"/>
      <c r="E281" s="31"/>
      <c r="F281" s="30"/>
      <c r="G281" s="30"/>
      <c r="H281" s="30"/>
      <c r="I281" s="30"/>
      <c r="J281" s="30"/>
      <c r="K281" s="30"/>
      <c r="L281" s="30"/>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row>
    <row r="282" spans="3:39">
      <c r="C282" s="31"/>
      <c r="D282" s="31"/>
      <c r="E282" s="31"/>
      <c r="F282" s="30"/>
      <c r="G282" s="30"/>
      <c r="H282" s="30"/>
      <c r="I282" s="30"/>
      <c r="J282" s="30"/>
      <c r="K282" s="30"/>
      <c r="L282" s="30"/>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row>
    <row r="283" spans="3:39">
      <c r="C283" s="31"/>
      <c r="D283" s="31"/>
      <c r="E283" s="31"/>
      <c r="F283" s="30"/>
      <c r="G283" s="30"/>
      <c r="H283" s="30"/>
      <c r="I283" s="30"/>
      <c r="J283" s="30"/>
      <c r="K283" s="30"/>
      <c r="L283" s="30"/>
      <c r="M283" s="30"/>
      <c r="N283" s="30"/>
      <c r="O283" s="30"/>
      <c r="P283" s="30"/>
      <c r="Q283" s="30"/>
      <c r="R283" s="30"/>
      <c r="S283" s="30"/>
      <c r="T283" s="30"/>
      <c r="U283" s="30"/>
      <c r="V283" s="30"/>
      <c r="W283" s="30"/>
      <c r="X283" s="30"/>
      <c r="Y283" s="30"/>
      <c r="Z283" s="30"/>
      <c r="AA283" s="30"/>
      <c r="AB283" s="30"/>
      <c r="AC283" s="30"/>
      <c r="AD283" s="30"/>
      <c r="AE283" s="30"/>
      <c r="AF283" s="30"/>
      <c r="AG283" s="30"/>
      <c r="AH283" s="30"/>
      <c r="AI283" s="30"/>
      <c r="AJ283" s="30"/>
      <c r="AK283" s="30"/>
      <c r="AL283" s="30"/>
      <c r="AM283" s="30"/>
    </row>
    <row r="284" spans="3:39">
      <c r="C284" s="31"/>
      <c r="D284" s="31"/>
      <c r="E284" s="31"/>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c r="AF284" s="30"/>
      <c r="AG284" s="30"/>
      <c r="AH284" s="30"/>
      <c r="AI284" s="30"/>
      <c r="AJ284" s="30"/>
      <c r="AK284" s="30"/>
      <c r="AL284" s="30"/>
      <c r="AM284" s="30"/>
    </row>
    <row r="285" spans="3:39">
      <c r="C285" s="31"/>
      <c r="D285" s="31"/>
      <c r="E285" s="31"/>
      <c r="F285" s="30"/>
      <c r="G285" s="30"/>
      <c r="H285" s="30"/>
      <c r="I285" s="30"/>
      <c r="J285" s="30"/>
      <c r="K285" s="30"/>
      <c r="L285" s="30"/>
      <c r="M285" s="30"/>
      <c r="N285" s="30"/>
      <c r="O285" s="30"/>
      <c r="P285" s="30"/>
      <c r="Q285" s="30"/>
      <c r="R285" s="30"/>
      <c r="S285" s="30"/>
      <c r="T285" s="30"/>
      <c r="U285" s="30"/>
      <c r="V285" s="30"/>
      <c r="W285" s="30"/>
      <c r="X285" s="30"/>
      <c r="Y285" s="30"/>
      <c r="Z285" s="30"/>
      <c r="AA285" s="30"/>
      <c r="AB285" s="30"/>
      <c r="AC285" s="30"/>
      <c r="AD285" s="30"/>
      <c r="AE285" s="30"/>
      <c r="AF285" s="30"/>
      <c r="AG285" s="30"/>
      <c r="AH285" s="30"/>
      <c r="AI285" s="30"/>
      <c r="AJ285" s="30"/>
      <c r="AK285" s="30"/>
      <c r="AL285" s="30"/>
      <c r="AM285" s="30"/>
    </row>
    <row r="286" spans="3:39">
      <c r="C286" s="31"/>
      <c r="D286" s="31"/>
      <c r="E286" s="31"/>
      <c r="F286" s="30"/>
      <c r="G286" s="30"/>
      <c r="H286" s="30"/>
      <c r="I286" s="30"/>
      <c r="J286" s="30"/>
      <c r="K286" s="30"/>
      <c r="L286" s="30"/>
      <c r="M286" s="30"/>
      <c r="N286" s="30"/>
      <c r="O286" s="30"/>
      <c r="P286" s="30"/>
      <c r="Q286" s="30"/>
      <c r="R286" s="30"/>
      <c r="S286" s="30"/>
      <c r="T286" s="30"/>
      <c r="U286" s="30"/>
      <c r="V286" s="30"/>
      <c r="W286" s="30"/>
      <c r="X286" s="30"/>
      <c r="Y286" s="30"/>
      <c r="Z286" s="30"/>
      <c r="AA286" s="30"/>
      <c r="AB286" s="30"/>
      <c r="AC286" s="30"/>
      <c r="AD286" s="30"/>
      <c r="AE286" s="30"/>
      <c r="AF286" s="30"/>
      <c r="AG286" s="30"/>
      <c r="AH286" s="30"/>
      <c r="AI286" s="30"/>
      <c r="AJ286" s="30"/>
      <c r="AK286" s="30"/>
      <c r="AL286" s="30"/>
      <c r="AM286" s="30"/>
    </row>
    <row r="287" spans="3:39">
      <c r="C287" s="31"/>
      <c r="D287" s="31"/>
      <c r="E287" s="31"/>
      <c r="F287" s="30"/>
      <c r="G287" s="30"/>
      <c r="H287" s="30"/>
      <c r="I287" s="30"/>
      <c r="J287" s="30"/>
      <c r="K287" s="30"/>
      <c r="L287" s="30"/>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row>
    <row r="288" spans="3:39">
      <c r="C288" s="31"/>
      <c r="D288" s="31"/>
      <c r="E288" s="31"/>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c r="AF288" s="30"/>
      <c r="AG288" s="30"/>
      <c r="AH288" s="30"/>
      <c r="AI288" s="30"/>
      <c r="AJ288" s="30"/>
      <c r="AK288" s="30"/>
      <c r="AL288" s="30"/>
      <c r="AM288" s="30"/>
    </row>
    <row r="289" spans="3:39">
      <c r="C289" s="31"/>
      <c r="D289" s="31"/>
      <c r="E289" s="31"/>
      <c r="F289" s="30"/>
      <c r="G289" s="30"/>
      <c r="H289" s="30"/>
      <c r="I289" s="30"/>
      <c r="J289" s="30"/>
      <c r="K289" s="30"/>
      <c r="L289" s="30"/>
      <c r="M289" s="30"/>
      <c r="N289" s="30"/>
      <c r="O289" s="30"/>
      <c r="P289" s="30"/>
      <c r="Q289" s="30"/>
      <c r="R289" s="30"/>
      <c r="S289" s="30"/>
      <c r="T289" s="30"/>
      <c r="U289" s="30"/>
      <c r="V289" s="30"/>
      <c r="W289" s="30"/>
      <c r="X289" s="30"/>
      <c r="Y289" s="30"/>
      <c r="Z289" s="30"/>
      <c r="AA289" s="30"/>
      <c r="AB289" s="30"/>
      <c r="AC289" s="30"/>
      <c r="AD289" s="30"/>
      <c r="AE289" s="30"/>
      <c r="AF289" s="30"/>
      <c r="AG289" s="30"/>
      <c r="AH289" s="30"/>
      <c r="AI289" s="30"/>
      <c r="AJ289" s="30"/>
      <c r="AK289" s="30"/>
      <c r="AL289" s="30"/>
      <c r="AM289" s="30"/>
    </row>
    <row r="290" spans="3:39">
      <c r="C290" s="31"/>
      <c r="D290" s="31"/>
      <c r="E290" s="31"/>
      <c r="F290" s="30"/>
      <c r="G290" s="30"/>
      <c r="H290" s="30"/>
      <c r="I290" s="30"/>
      <c r="J290" s="30"/>
      <c r="K290" s="30"/>
      <c r="L290" s="30"/>
      <c r="M290" s="30"/>
      <c r="N290" s="30"/>
      <c r="O290" s="30"/>
      <c r="P290" s="30"/>
      <c r="Q290" s="30"/>
      <c r="R290" s="30"/>
      <c r="S290" s="30"/>
      <c r="T290" s="30"/>
      <c r="U290" s="30"/>
      <c r="V290" s="30"/>
      <c r="W290" s="30"/>
      <c r="X290" s="30"/>
      <c r="Y290" s="30"/>
      <c r="Z290" s="30"/>
      <c r="AA290" s="30"/>
      <c r="AB290" s="30"/>
      <c r="AC290" s="30"/>
      <c r="AD290" s="30"/>
      <c r="AE290" s="30"/>
      <c r="AF290" s="30"/>
      <c r="AG290" s="30"/>
      <c r="AH290" s="30"/>
      <c r="AI290" s="30"/>
      <c r="AJ290" s="30"/>
      <c r="AK290" s="30"/>
      <c r="AL290" s="30"/>
      <c r="AM290" s="30"/>
    </row>
    <row r="291" spans="3:39">
      <c r="C291" s="31"/>
      <c r="D291" s="31"/>
      <c r="E291" s="31"/>
      <c r="F291" s="30"/>
      <c r="G291" s="30"/>
      <c r="H291" s="30"/>
      <c r="I291" s="30"/>
      <c r="J291" s="30"/>
      <c r="K291" s="30"/>
      <c r="L291" s="30"/>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row>
    <row r="292" spans="3:39">
      <c r="C292" s="31"/>
      <c r="D292" s="31"/>
      <c r="E292" s="31"/>
      <c r="F292" s="30"/>
      <c r="G292" s="30"/>
      <c r="H292" s="30"/>
      <c r="I292" s="30"/>
      <c r="J292" s="30"/>
      <c r="K292" s="30"/>
      <c r="L292" s="30"/>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row>
    <row r="293" spans="3:39">
      <c r="C293" s="31"/>
      <c r="D293" s="31"/>
      <c r="E293" s="31"/>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c r="AF293" s="30"/>
      <c r="AG293" s="30"/>
      <c r="AH293" s="30"/>
      <c r="AI293" s="30"/>
      <c r="AJ293" s="30"/>
      <c r="AK293" s="30"/>
      <c r="AL293" s="30"/>
      <c r="AM293" s="30"/>
    </row>
    <row r="294" spans="3:39">
      <c r="C294" s="31"/>
      <c r="D294" s="31"/>
      <c r="E294" s="31"/>
      <c r="F294" s="30"/>
      <c r="G294" s="30"/>
      <c r="H294" s="30"/>
      <c r="I294" s="30"/>
      <c r="J294" s="30"/>
      <c r="K294" s="30"/>
      <c r="L294" s="30"/>
      <c r="M294" s="30"/>
      <c r="N294" s="30"/>
      <c r="O294" s="30"/>
      <c r="P294" s="30"/>
      <c r="Q294" s="30"/>
      <c r="R294" s="30"/>
      <c r="S294" s="30"/>
      <c r="T294" s="30"/>
      <c r="U294" s="30"/>
      <c r="V294" s="30"/>
      <c r="W294" s="30"/>
      <c r="X294" s="30"/>
      <c r="Y294" s="30"/>
      <c r="Z294" s="30"/>
      <c r="AA294" s="30"/>
      <c r="AB294" s="30"/>
      <c r="AC294" s="30"/>
      <c r="AD294" s="30"/>
      <c r="AE294" s="30"/>
      <c r="AF294" s="30"/>
      <c r="AG294" s="30"/>
      <c r="AH294" s="30"/>
      <c r="AI294" s="30"/>
      <c r="AJ294" s="30"/>
      <c r="AK294" s="30"/>
      <c r="AL294" s="30"/>
      <c r="AM294" s="30"/>
    </row>
    <row r="295" spans="3:39">
      <c r="C295" s="31"/>
      <c r="D295" s="31"/>
      <c r="E295" s="31"/>
      <c r="F295" s="30"/>
      <c r="G295" s="30"/>
      <c r="H295" s="30"/>
      <c r="I295" s="30"/>
      <c r="J295" s="30"/>
      <c r="K295" s="30"/>
      <c r="L295" s="30"/>
      <c r="M295" s="30"/>
      <c r="N295" s="30"/>
      <c r="O295" s="30"/>
      <c r="P295" s="30"/>
      <c r="Q295" s="30"/>
      <c r="R295" s="30"/>
      <c r="S295" s="30"/>
      <c r="T295" s="30"/>
      <c r="U295" s="30"/>
      <c r="V295" s="30"/>
      <c r="W295" s="30"/>
      <c r="X295" s="30"/>
      <c r="Y295" s="30"/>
      <c r="Z295" s="30"/>
      <c r="AA295" s="30"/>
      <c r="AB295" s="30"/>
      <c r="AC295" s="30"/>
      <c r="AD295" s="30"/>
      <c r="AE295" s="30"/>
      <c r="AF295" s="30"/>
      <c r="AG295" s="30"/>
      <c r="AH295" s="30"/>
      <c r="AI295" s="30"/>
      <c r="AJ295" s="30"/>
      <c r="AK295" s="30"/>
      <c r="AL295" s="30"/>
      <c r="AM295" s="30"/>
    </row>
    <row r="296" spans="3:39">
      <c r="C296" s="31"/>
      <c r="D296" s="31"/>
      <c r="E296" s="31"/>
      <c r="F296" s="30"/>
      <c r="G296" s="30"/>
      <c r="H296" s="30"/>
      <c r="I296" s="30"/>
      <c r="J296" s="30"/>
      <c r="K296" s="30"/>
      <c r="L296" s="30"/>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row>
    <row r="297" spans="3:39">
      <c r="C297" s="31"/>
      <c r="D297" s="31"/>
      <c r="E297" s="31"/>
      <c r="F297" s="30"/>
      <c r="G297" s="30"/>
      <c r="H297" s="30"/>
      <c r="I297" s="30"/>
      <c r="J297" s="30"/>
      <c r="K297" s="30"/>
      <c r="L297" s="30"/>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row>
    <row r="298" spans="3:39">
      <c r="C298" s="31"/>
      <c r="D298" s="31"/>
      <c r="E298" s="31"/>
      <c r="F298" s="30"/>
      <c r="G298" s="30"/>
      <c r="H298" s="30"/>
      <c r="I298" s="30"/>
      <c r="J298" s="30"/>
      <c r="K298" s="30"/>
      <c r="L298" s="30"/>
      <c r="M298" s="30"/>
      <c r="N298" s="30"/>
      <c r="O298" s="30"/>
      <c r="P298" s="30"/>
      <c r="Q298" s="30"/>
      <c r="R298" s="30"/>
      <c r="S298" s="30"/>
      <c r="T298" s="30"/>
      <c r="U298" s="30"/>
      <c r="V298" s="30"/>
      <c r="W298" s="30"/>
      <c r="X298" s="30"/>
      <c r="Y298" s="30"/>
      <c r="Z298" s="30"/>
      <c r="AA298" s="30"/>
      <c r="AB298" s="30"/>
      <c r="AC298" s="30"/>
      <c r="AD298" s="30"/>
      <c r="AE298" s="30"/>
      <c r="AF298" s="30"/>
      <c r="AG298" s="30"/>
      <c r="AH298" s="30"/>
      <c r="AI298" s="30"/>
      <c r="AJ298" s="30"/>
      <c r="AK298" s="30"/>
      <c r="AL298" s="30"/>
      <c r="AM298" s="30"/>
    </row>
    <row r="299" spans="3:39">
      <c r="C299" s="31"/>
      <c r="D299" s="31"/>
      <c r="E299" s="31"/>
      <c r="F299" s="30"/>
      <c r="G299" s="30"/>
      <c r="H299" s="30"/>
      <c r="I299" s="30"/>
      <c r="J299" s="30"/>
      <c r="K299" s="30"/>
      <c r="L299" s="30"/>
      <c r="M299" s="30"/>
      <c r="N299" s="30"/>
      <c r="O299" s="30"/>
      <c r="P299" s="30"/>
      <c r="Q299" s="30"/>
      <c r="R299" s="30"/>
      <c r="S299" s="30"/>
      <c r="T299" s="30"/>
      <c r="U299" s="30"/>
      <c r="V299" s="30"/>
      <c r="W299" s="30"/>
      <c r="X299" s="30"/>
      <c r="Y299" s="30"/>
      <c r="Z299" s="30"/>
      <c r="AA299" s="30"/>
      <c r="AB299" s="30"/>
      <c r="AC299" s="30"/>
      <c r="AD299" s="30"/>
      <c r="AE299" s="30"/>
      <c r="AF299" s="30"/>
      <c r="AG299" s="30"/>
      <c r="AH299" s="30"/>
      <c r="AI299" s="30"/>
      <c r="AJ299" s="30"/>
      <c r="AK299" s="30"/>
      <c r="AL299" s="30"/>
      <c r="AM299" s="30"/>
    </row>
    <row r="300" spans="3:39">
      <c r="C300" s="31"/>
      <c r="D300" s="31"/>
      <c r="E300" s="31"/>
      <c r="F300" s="30"/>
      <c r="G300" s="30"/>
      <c r="H300" s="30"/>
      <c r="I300" s="30"/>
      <c r="J300" s="30"/>
      <c r="K300" s="30"/>
      <c r="L300" s="30"/>
      <c r="M300" s="30"/>
      <c r="N300" s="30"/>
      <c r="O300" s="30"/>
      <c r="P300" s="30"/>
      <c r="Q300" s="30"/>
      <c r="R300" s="30"/>
      <c r="S300" s="30"/>
      <c r="T300" s="30"/>
      <c r="U300" s="30"/>
      <c r="V300" s="30"/>
      <c r="W300" s="30"/>
      <c r="X300" s="30"/>
      <c r="Y300" s="30"/>
      <c r="Z300" s="30"/>
      <c r="AA300" s="30"/>
      <c r="AB300" s="30"/>
      <c r="AC300" s="30"/>
      <c r="AD300" s="30"/>
      <c r="AE300" s="30"/>
      <c r="AF300" s="30"/>
      <c r="AG300" s="30"/>
      <c r="AH300" s="30"/>
      <c r="AI300" s="30"/>
      <c r="AJ300" s="30"/>
      <c r="AK300" s="30"/>
      <c r="AL300" s="30"/>
      <c r="AM300" s="30"/>
    </row>
    <row r="301" spans="3:39">
      <c r="C301" s="31"/>
      <c r="D301" s="31"/>
      <c r="E301" s="31"/>
      <c r="F301" s="30"/>
      <c r="G301" s="30"/>
      <c r="H301" s="30"/>
      <c r="I301" s="30"/>
      <c r="J301" s="30"/>
      <c r="K301" s="30"/>
      <c r="L301" s="30"/>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row>
    <row r="302" spans="3:39">
      <c r="C302" s="31"/>
      <c r="D302" s="31"/>
      <c r="E302" s="31"/>
      <c r="F302" s="30"/>
      <c r="G302" s="30"/>
      <c r="H302" s="30"/>
      <c r="I302" s="30"/>
      <c r="J302" s="30"/>
      <c r="K302" s="30"/>
      <c r="L302" s="30"/>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row>
    <row r="303" spans="3:39">
      <c r="C303" s="31"/>
      <c r="D303" s="31"/>
      <c r="E303" s="31"/>
      <c r="F303" s="30"/>
      <c r="G303" s="30"/>
      <c r="H303" s="30"/>
      <c r="I303" s="30"/>
      <c r="J303" s="30"/>
      <c r="K303" s="30"/>
      <c r="L303" s="30"/>
      <c r="M303" s="30"/>
      <c r="N303" s="30"/>
      <c r="O303" s="30"/>
      <c r="P303" s="30"/>
      <c r="Q303" s="30"/>
      <c r="R303" s="30"/>
      <c r="S303" s="30"/>
      <c r="T303" s="30"/>
      <c r="U303" s="30"/>
      <c r="V303" s="30"/>
      <c r="W303" s="30"/>
      <c r="X303" s="30"/>
      <c r="Y303" s="30"/>
      <c r="Z303" s="30"/>
      <c r="AA303" s="30"/>
      <c r="AB303" s="30"/>
      <c r="AC303" s="30"/>
      <c r="AD303" s="30"/>
      <c r="AE303" s="30"/>
      <c r="AF303" s="30"/>
      <c r="AG303" s="30"/>
      <c r="AH303" s="30"/>
      <c r="AI303" s="30"/>
      <c r="AJ303" s="30"/>
      <c r="AK303" s="30"/>
      <c r="AL303" s="30"/>
      <c r="AM303" s="30"/>
    </row>
    <row r="304" spans="3:39">
      <c r="C304" s="31"/>
      <c r="D304" s="31"/>
      <c r="E304" s="31"/>
      <c r="F304" s="30"/>
      <c r="G304" s="30"/>
      <c r="H304" s="30"/>
      <c r="I304" s="30"/>
      <c r="J304" s="30"/>
      <c r="K304" s="30"/>
      <c r="L304" s="30"/>
      <c r="M304" s="30"/>
      <c r="N304" s="30"/>
      <c r="O304" s="30"/>
      <c r="P304" s="30"/>
      <c r="Q304" s="30"/>
      <c r="R304" s="30"/>
      <c r="S304" s="30"/>
      <c r="T304" s="30"/>
      <c r="U304" s="30"/>
      <c r="V304" s="30"/>
      <c r="W304" s="30"/>
      <c r="X304" s="30"/>
      <c r="Y304" s="30"/>
      <c r="Z304" s="30"/>
      <c r="AA304" s="30"/>
      <c r="AB304" s="30"/>
      <c r="AC304" s="30"/>
      <c r="AD304" s="30"/>
      <c r="AE304" s="30"/>
      <c r="AF304" s="30"/>
      <c r="AG304" s="30"/>
      <c r="AH304" s="30"/>
      <c r="AI304" s="30"/>
      <c r="AJ304" s="30"/>
      <c r="AK304" s="30"/>
      <c r="AL304" s="30"/>
      <c r="AM304" s="30"/>
    </row>
    <row r="305" spans="3:39">
      <c r="C305" s="31"/>
      <c r="D305" s="31"/>
      <c r="E305" s="31"/>
      <c r="F305" s="30"/>
      <c r="G305" s="30"/>
      <c r="H305" s="30"/>
      <c r="I305" s="30"/>
      <c r="J305" s="30"/>
      <c r="K305" s="30"/>
      <c r="L305" s="30"/>
      <c r="M305" s="30"/>
      <c r="N305" s="30"/>
      <c r="O305" s="30"/>
      <c r="P305" s="30"/>
      <c r="Q305" s="30"/>
      <c r="R305" s="30"/>
      <c r="S305" s="30"/>
      <c r="T305" s="30"/>
      <c r="U305" s="30"/>
      <c r="V305" s="30"/>
      <c r="W305" s="30"/>
      <c r="X305" s="30"/>
      <c r="Y305" s="30"/>
      <c r="Z305" s="30"/>
      <c r="AA305" s="30"/>
      <c r="AB305" s="30"/>
      <c r="AC305" s="30"/>
      <c r="AD305" s="30"/>
      <c r="AE305" s="30"/>
      <c r="AF305" s="30"/>
      <c r="AG305" s="30"/>
      <c r="AH305" s="30"/>
      <c r="AI305" s="30"/>
      <c r="AJ305" s="30"/>
      <c r="AK305" s="30"/>
      <c r="AL305" s="30"/>
      <c r="AM305" s="30"/>
    </row>
    <row r="306" spans="3:39">
      <c r="C306" s="31"/>
      <c r="D306" s="31"/>
      <c r="E306" s="31"/>
      <c r="F306" s="30"/>
      <c r="G306" s="30"/>
      <c r="H306" s="30"/>
      <c r="I306" s="30"/>
      <c r="J306" s="30"/>
      <c r="K306" s="30"/>
      <c r="L306" s="30"/>
      <c r="M306" s="30"/>
      <c r="N306" s="30"/>
      <c r="O306" s="30"/>
      <c r="P306" s="30"/>
      <c r="Q306" s="30"/>
      <c r="R306" s="30"/>
      <c r="S306" s="30"/>
      <c r="T306" s="30"/>
      <c r="U306" s="30"/>
      <c r="V306" s="30"/>
      <c r="W306" s="30"/>
      <c r="X306" s="30"/>
      <c r="Y306" s="30"/>
      <c r="Z306" s="30"/>
      <c r="AA306" s="30"/>
      <c r="AB306" s="30"/>
      <c r="AC306" s="30"/>
      <c r="AD306" s="30"/>
      <c r="AE306" s="30"/>
      <c r="AF306" s="30"/>
      <c r="AG306" s="30"/>
      <c r="AH306" s="30"/>
      <c r="AI306" s="30"/>
      <c r="AJ306" s="30"/>
      <c r="AK306" s="30"/>
      <c r="AL306" s="30"/>
      <c r="AM306" s="30"/>
    </row>
    <row r="307" spans="3:39">
      <c r="C307" s="31"/>
      <c r="D307" s="31"/>
      <c r="E307" s="31"/>
      <c r="F307" s="30"/>
      <c r="G307" s="30"/>
      <c r="H307" s="30"/>
      <c r="I307" s="30"/>
      <c r="J307" s="30"/>
      <c r="K307" s="30"/>
      <c r="L307" s="30"/>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row>
    <row r="308" spans="3:39">
      <c r="C308" s="31"/>
      <c r="D308" s="31"/>
      <c r="E308" s="31"/>
      <c r="F308" s="30"/>
      <c r="G308" s="30"/>
      <c r="H308" s="30"/>
      <c r="I308" s="30"/>
      <c r="J308" s="30"/>
      <c r="K308" s="30"/>
      <c r="L308" s="30"/>
      <c r="M308" s="30"/>
      <c r="N308" s="30"/>
      <c r="O308" s="30"/>
      <c r="P308" s="30"/>
      <c r="Q308" s="30"/>
      <c r="R308" s="30"/>
      <c r="S308" s="30"/>
      <c r="T308" s="30"/>
      <c r="U308" s="30"/>
      <c r="V308" s="30"/>
      <c r="W308" s="30"/>
      <c r="X308" s="30"/>
      <c r="Y308" s="30"/>
      <c r="Z308" s="30"/>
      <c r="AA308" s="30"/>
      <c r="AB308" s="30"/>
      <c r="AC308" s="30"/>
      <c r="AD308" s="30"/>
      <c r="AE308" s="30"/>
      <c r="AF308" s="30"/>
      <c r="AG308" s="30"/>
      <c r="AH308" s="30"/>
      <c r="AI308" s="30"/>
      <c r="AJ308" s="30"/>
      <c r="AK308" s="30"/>
      <c r="AL308" s="30"/>
      <c r="AM308" s="30"/>
    </row>
    <row r="309" spans="3:39">
      <c r="C309" s="31"/>
      <c r="D309" s="31"/>
      <c r="E309" s="31"/>
      <c r="F309" s="30"/>
      <c r="G309" s="30"/>
      <c r="H309" s="30"/>
      <c r="I309" s="30"/>
      <c r="J309" s="30"/>
      <c r="K309" s="30"/>
      <c r="L309" s="30"/>
      <c r="M309" s="30"/>
      <c r="N309" s="30"/>
      <c r="O309" s="30"/>
      <c r="P309" s="30"/>
      <c r="Q309" s="30"/>
      <c r="R309" s="30"/>
      <c r="S309" s="30"/>
      <c r="T309" s="30"/>
      <c r="U309" s="30"/>
      <c r="V309" s="30"/>
      <c r="W309" s="30"/>
      <c r="X309" s="30"/>
      <c r="Y309" s="30"/>
      <c r="Z309" s="30"/>
      <c r="AA309" s="30"/>
      <c r="AB309" s="30"/>
      <c r="AC309" s="30"/>
      <c r="AD309" s="30"/>
      <c r="AE309" s="30"/>
      <c r="AF309" s="30"/>
      <c r="AG309" s="30"/>
      <c r="AH309" s="30"/>
      <c r="AI309" s="30"/>
      <c r="AJ309" s="30"/>
      <c r="AK309" s="30"/>
      <c r="AL309" s="30"/>
      <c r="AM309" s="30"/>
    </row>
    <row r="310" spans="3:39">
      <c r="C310" s="31"/>
      <c r="D310" s="31"/>
      <c r="E310" s="31"/>
      <c r="F310" s="30"/>
      <c r="G310" s="30"/>
      <c r="H310" s="30"/>
      <c r="I310" s="30"/>
      <c r="J310" s="30"/>
      <c r="K310" s="30"/>
      <c r="L310" s="30"/>
      <c r="M310" s="30"/>
      <c r="N310" s="30"/>
      <c r="O310" s="30"/>
      <c r="P310" s="30"/>
      <c r="Q310" s="30"/>
      <c r="R310" s="30"/>
      <c r="S310" s="30"/>
      <c r="T310" s="30"/>
      <c r="U310" s="30"/>
      <c r="V310" s="30"/>
      <c r="W310" s="30"/>
      <c r="X310" s="30"/>
      <c r="Y310" s="30"/>
      <c r="Z310" s="30"/>
      <c r="AA310" s="30"/>
      <c r="AB310" s="30"/>
      <c r="AC310" s="30"/>
      <c r="AD310" s="30"/>
      <c r="AE310" s="30"/>
      <c r="AF310" s="30"/>
      <c r="AG310" s="30"/>
      <c r="AH310" s="30"/>
      <c r="AI310" s="30"/>
      <c r="AJ310" s="30"/>
      <c r="AK310" s="30"/>
      <c r="AL310" s="30"/>
      <c r="AM310" s="30"/>
    </row>
    <row r="311" spans="3:39">
      <c r="C311" s="31"/>
      <c r="D311" s="31"/>
      <c r="E311" s="31"/>
      <c r="F311" s="30"/>
      <c r="G311" s="30"/>
      <c r="H311" s="30"/>
      <c r="I311" s="30"/>
      <c r="J311" s="30"/>
      <c r="K311" s="30"/>
      <c r="L311" s="30"/>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row>
    <row r="312" spans="3:39">
      <c r="C312" s="31"/>
      <c r="D312" s="31"/>
      <c r="E312" s="31"/>
      <c r="F312" s="30"/>
      <c r="G312" s="30"/>
      <c r="H312" s="30"/>
      <c r="I312" s="30"/>
      <c r="J312" s="30"/>
      <c r="K312" s="30"/>
      <c r="L312" s="30"/>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row>
  </sheetData>
  <autoFilter ref="A3:B3"/>
  <sortState ref="C4:Z28">
    <sortCondition ref="C4"/>
  </sortState>
  <mergeCells count="49">
    <mergeCell ref="C18:C22"/>
    <mergeCell ref="E18:E19"/>
    <mergeCell ref="D6:D7"/>
    <mergeCell ref="C2:E2"/>
    <mergeCell ref="D18:D19"/>
    <mergeCell ref="AI3:AM3"/>
    <mergeCell ref="F2:I2"/>
    <mergeCell ref="F3:I3"/>
    <mergeCell ref="AI2:AM2"/>
    <mergeCell ref="AD2:AH2"/>
    <mergeCell ref="Y2:AC2"/>
    <mergeCell ref="T2:X2"/>
    <mergeCell ref="O2:S2"/>
    <mergeCell ref="J2:N2"/>
    <mergeCell ref="T3:X3"/>
    <mergeCell ref="J3:N3"/>
    <mergeCell ref="O3:S3"/>
    <mergeCell ref="E58:E59"/>
    <mergeCell ref="Y3:AC3"/>
    <mergeCell ref="C4:C8"/>
    <mergeCell ref="AD3:AH3"/>
    <mergeCell ref="C47:C52"/>
    <mergeCell ref="C43:C46"/>
    <mergeCell ref="C41:C42"/>
    <mergeCell ref="C37:C40"/>
    <mergeCell ref="D50:D51"/>
    <mergeCell ref="D26:D27"/>
    <mergeCell ref="C29:C34"/>
    <mergeCell ref="C23:C28"/>
    <mergeCell ref="C11:C13"/>
    <mergeCell ref="C9:C10"/>
    <mergeCell ref="D24:D25"/>
    <mergeCell ref="C14:C16"/>
    <mergeCell ref="C53:C56"/>
    <mergeCell ref="E6:E7"/>
    <mergeCell ref="C57:C61"/>
    <mergeCell ref="E26:E27"/>
    <mergeCell ref="E24:E25"/>
    <mergeCell ref="C35:C36"/>
    <mergeCell ref="E50:E51"/>
    <mergeCell ref="E32:E33"/>
    <mergeCell ref="E30:E31"/>
    <mergeCell ref="D30:D31"/>
    <mergeCell ref="D32:D33"/>
    <mergeCell ref="D48:D49"/>
    <mergeCell ref="E48:E49"/>
    <mergeCell ref="D44:D45"/>
    <mergeCell ref="E44:E45"/>
    <mergeCell ref="D58:D59"/>
  </mergeCells>
  <conditionalFormatting sqref="F1:K1048576 M1:AM1048576 L1:L60 L62:L1048576">
    <cfRule type="cellIs" dxfId="30" priority="2" operator="equal">
      <formula>0</formula>
    </cfRule>
  </conditionalFormatting>
  <pageMargins left="0.7" right="0.7" top="0.75" bottom="0.75" header="0.3" footer="0.3"/>
  <pageSetup paperSize="9" orientation="portrait" horizontalDpi="300" verticalDpi="0" copies="0" r:id="rId1"/>
  <ignoredErrors>
    <ignoredError sqref="AD58:AE58 Y58:Z58 Y3" formula="1"/>
  </ignoredErrors>
</worksheet>
</file>

<file path=xl/worksheets/sheet2.xml><?xml version="1.0" encoding="utf-8"?>
<worksheet xmlns="http://schemas.openxmlformats.org/spreadsheetml/2006/main" xmlns:r="http://schemas.openxmlformats.org/officeDocument/2006/relationships">
  <sheetPr codeName="Feuil3"/>
  <dimension ref="A1:X26"/>
  <sheetViews>
    <sheetView workbookViewId="0">
      <selection activeCell="V18" sqref="O1:V18"/>
    </sheetView>
  </sheetViews>
  <sheetFormatPr baseColWidth="10" defaultRowHeight="15"/>
  <cols>
    <col min="2" max="2" width="11.42578125" style="30"/>
    <col min="3" max="9" width="4.5703125" style="30" customWidth="1"/>
    <col min="10" max="10" width="5" bestFit="1" customWidth="1"/>
    <col min="16" max="16" width="9.5703125" bestFit="1" customWidth="1"/>
    <col min="17" max="22" width="7.7109375" customWidth="1"/>
  </cols>
  <sheetData>
    <row r="1" spans="1:24" ht="15.75" thickBot="1">
      <c r="A1">
        <v>1</v>
      </c>
      <c r="B1" s="352" t="s">
        <v>140</v>
      </c>
      <c r="C1" s="352"/>
      <c r="D1" s="352"/>
      <c r="E1" s="352"/>
      <c r="F1" s="352"/>
      <c r="G1" s="352"/>
      <c r="H1" s="352"/>
      <c r="I1" s="352"/>
      <c r="J1" s="352"/>
      <c r="K1">
        <v>11</v>
      </c>
      <c r="L1" s="30">
        <v>12</v>
      </c>
      <c r="M1">
        <v>13</v>
      </c>
      <c r="N1" s="30">
        <v>14</v>
      </c>
      <c r="O1" s="351" t="s">
        <v>139</v>
      </c>
      <c r="P1" s="351"/>
      <c r="Q1" s="351"/>
      <c r="R1" s="351"/>
      <c r="S1" s="351"/>
      <c r="T1" s="351"/>
      <c r="U1" s="351"/>
      <c r="V1" s="351"/>
      <c r="W1" s="30">
        <v>24</v>
      </c>
      <c r="X1">
        <v>25</v>
      </c>
    </row>
    <row r="2" spans="1:24" ht="18.75" customHeight="1" thickBot="1">
      <c r="C2" s="129"/>
      <c r="D2" s="130"/>
      <c r="E2" s="131"/>
      <c r="F2" s="130"/>
      <c r="G2" s="131"/>
      <c r="H2" s="130"/>
      <c r="I2" s="132"/>
      <c r="L2" t="s">
        <v>4</v>
      </c>
      <c r="M2" t="s">
        <v>126</v>
      </c>
      <c r="O2" s="30"/>
      <c r="P2" s="129"/>
      <c r="Q2" s="130"/>
      <c r="R2" s="131"/>
      <c r="S2" s="130"/>
      <c r="T2" s="131"/>
      <c r="U2" s="130"/>
      <c r="V2" s="132"/>
    </row>
    <row r="3" spans="1:24">
      <c r="B3" s="113" t="s">
        <v>26</v>
      </c>
      <c r="C3" s="116">
        <f>COUNTA(Ressources!G4:G8)</f>
        <v>4</v>
      </c>
      <c r="D3" s="117">
        <f>COUNTA(Ressources!J4:J8)</f>
        <v>3</v>
      </c>
      <c r="E3" s="116">
        <f>COUNTA(Ressources!O4:O8)</f>
        <v>5</v>
      </c>
      <c r="F3" s="117">
        <f>COUNTA(Ressources!T4:T8)</f>
        <v>2</v>
      </c>
      <c r="G3" s="116">
        <f>COUNTA(Ressources!Y4:Y8)</f>
        <v>1</v>
      </c>
      <c r="H3" s="117">
        <f>COUNTA(Ressources!AD4:AD8)</f>
        <v>1</v>
      </c>
      <c r="I3" s="118">
        <f>COUNTA(Ressources!AI4:AI8)</f>
        <v>0</v>
      </c>
      <c r="J3" s="27">
        <f>SUM(C3:I3)</f>
        <v>16</v>
      </c>
      <c r="L3" s="146">
        <f>SUM(Ressources!I4:I8)</f>
        <v>137170</v>
      </c>
      <c r="M3" s="149">
        <f t="shared" ref="M3:M17" si="0">L3/$L$18</f>
        <v>0.11280984259091731</v>
      </c>
      <c r="O3" s="286" t="s">
        <v>26</v>
      </c>
      <c r="P3" s="211">
        <v>137170</v>
      </c>
      <c r="Q3" s="203">
        <v>58.950400000000002</v>
      </c>
      <c r="R3" s="203">
        <v>71.9392</v>
      </c>
      <c r="S3" s="203">
        <v>10.75</v>
      </c>
      <c r="T3" s="203">
        <v>5.5</v>
      </c>
      <c r="U3" s="203">
        <v>8.8000000000000007</v>
      </c>
      <c r="V3" s="204">
        <v>0</v>
      </c>
    </row>
    <row r="4" spans="1:24">
      <c r="B4" s="125" t="s">
        <v>18</v>
      </c>
      <c r="C4" s="121">
        <f>COUNTA(Ressources!G9:G10)</f>
        <v>2</v>
      </c>
      <c r="D4" s="122">
        <f>COUNTA(Ressources!J9:J10)</f>
        <v>1</v>
      </c>
      <c r="E4" s="123">
        <f>COUNTA(Ressources!O9:O10)</f>
        <v>1</v>
      </c>
      <c r="F4" s="122">
        <f>COUNTA(Ressources!T9:T10)</f>
        <v>1</v>
      </c>
      <c r="G4" s="123">
        <f>COUNTA(Ressources!Y9:Y10)</f>
        <v>0</v>
      </c>
      <c r="H4" s="122">
        <f>COUNTA(Ressources!AD9:AD10)</f>
        <v>1</v>
      </c>
      <c r="I4" s="124">
        <f>COUNTA(Ressources!AI9:AI10)</f>
        <v>2</v>
      </c>
      <c r="J4" s="28">
        <f t="shared" ref="J4:J17" si="1">SUM(C4:I4)</f>
        <v>8</v>
      </c>
      <c r="L4" s="147">
        <f>SUM(Ressources!I9:I10)</f>
        <v>73480</v>
      </c>
      <c r="M4" s="150">
        <f t="shared" si="0"/>
        <v>6.0430613352632528E-2</v>
      </c>
      <c r="O4" s="125" t="s">
        <v>18</v>
      </c>
      <c r="P4" s="212">
        <v>73480</v>
      </c>
      <c r="Q4" s="205">
        <v>31.247999999999998</v>
      </c>
      <c r="R4" s="205">
        <v>26.784000000000002</v>
      </c>
      <c r="S4" s="205">
        <v>10.8</v>
      </c>
      <c r="T4" s="205">
        <v>0</v>
      </c>
      <c r="U4" s="205">
        <v>10.8</v>
      </c>
      <c r="V4" s="206">
        <v>24.192</v>
      </c>
    </row>
    <row r="5" spans="1:24">
      <c r="B5" s="114" t="s">
        <v>23</v>
      </c>
      <c r="C5" s="33">
        <f>COUNTA(Ressources!G11:G13)</f>
        <v>1</v>
      </c>
      <c r="D5" s="119">
        <f>COUNTA(Ressources!J11:J13)</f>
        <v>1</v>
      </c>
      <c r="E5" s="33">
        <f>COUNTA(Ressources!O11:O13)</f>
        <v>1</v>
      </c>
      <c r="F5" s="119">
        <f>COUNTA(Ressources!T11:T13)</f>
        <v>0</v>
      </c>
      <c r="G5" s="33">
        <f>COUNTA(Ressources!Y11:Y13)</f>
        <v>2</v>
      </c>
      <c r="H5" s="119">
        <f>COUNTA(Ressources!AD11:AD13)</f>
        <v>0</v>
      </c>
      <c r="I5" s="120">
        <f>COUNTA(Ressources!AI11:AI13)</f>
        <v>0</v>
      </c>
      <c r="J5" s="28">
        <f t="shared" si="1"/>
        <v>5</v>
      </c>
      <c r="L5" s="147">
        <f>SUM(Ressources!I11:I13)</f>
        <v>26400.000000000004</v>
      </c>
      <c r="M5" s="150">
        <f t="shared" si="0"/>
        <v>2.1711597611724264E-2</v>
      </c>
      <c r="O5" s="287" t="s">
        <v>23</v>
      </c>
      <c r="P5" s="212">
        <v>26400.000000000004</v>
      </c>
      <c r="Q5" s="205">
        <v>20</v>
      </c>
      <c r="R5" s="205">
        <v>24</v>
      </c>
      <c r="S5" s="205">
        <v>0</v>
      </c>
      <c r="T5" s="205">
        <v>11.1</v>
      </c>
      <c r="U5" s="205">
        <v>0</v>
      </c>
      <c r="V5" s="206">
        <v>0</v>
      </c>
    </row>
    <row r="6" spans="1:24">
      <c r="B6" s="125" t="s">
        <v>41</v>
      </c>
      <c r="C6" s="121">
        <f>COUNTA(Ressources!G14:G16)</f>
        <v>2</v>
      </c>
      <c r="D6" s="122">
        <f>COUNTA(Ressources!J14:J16)</f>
        <v>1</v>
      </c>
      <c r="E6" s="123">
        <f>COUNTA(Ressources!O14:O16)</f>
        <v>1</v>
      </c>
      <c r="F6" s="122">
        <f>COUNTA(Ressources!T14:T16)</f>
        <v>1</v>
      </c>
      <c r="G6" s="123">
        <f>COUNTA(Ressources!Y14:Y16)</f>
        <v>1</v>
      </c>
      <c r="H6" s="122">
        <f>COUNTA(Ressources!AD14:AD16)</f>
        <v>1</v>
      </c>
      <c r="I6" s="124">
        <f>COUNTA(Ressources!AI14:AI16)</f>
        <v>1</v>
      </c>
      <c r="J6" s="28">
        <f t="shared" si="1"/>
        <v>8</v>
      </c>
      <c r="L6" s="147">
        <f>SUM(Ressources!I14:I16)</f>
        <v>41800</v>
      </c>
      <c r="M6" s="150">
        <f t="shared" si="0"/>
        <v>3.4376696218563416E-2</v>
      </c>
      <c r="O6" s="125" t="s">
        <v>41</v>
      </c>
      <c r="P6" s="212">
        <v>41800</v>
      </c>
      <c r="Q6" s="205">
        <v>6</v>
      </c>
      <c r="R6" s="205">
        <v>14</v>
      </c>
      <c r="S6" s="205">
        <v>9</v>
      </c>
      <c r="T6" s="205">
        <v>7</v>
      </c>
      <c r="U6" s="205">
        <v>2</v>
      </c>
      <c r="V6" s="206">
        <v>2</v>
      </c>
    </row>
    <row r="7" spans="1:24">
      <c r="B7" s="114" t="s">
        <v>33</v>
      </c>
      <c r="C7" s="33">
        <f>COUNTA(Ressources!G17:G17)</f>
        <v>1</v>
      </c>
      <c r="D7" s="119">
        <f>COUNTA(Ressources!J17:J17)</f>
        <v>1</v>
      </c>
      <c r="E7" s="33">
        <f>COUNTA(Ressources!O17:O17)</f>
        <v>0</v>
      </c>
      <c r="F7" s="119">
        <f>COUNTA(Ressources!T17:T17)</f>
        <v>0</v>
      </c>
      <c r="G7" s="33">
        <f>COUNTA(Ressources!Y17:Y17)</f>
        <v>0</v>
      </c>
      <c r="H7" s="119">
        <f>COUNTA(Ressources!AD17:AD17)</f>
        <v>0</v>
      </c>
      <c r="I7" s="120">
        <f>COUNTA(Ressources!AI17:AI17)</f>
        <v>0</v>
      </c>
      <c r="J7" s="28">
        <f t="shared" si="1"/>
        <v>2</v>
      </c>
      <c r="L7" s="147">
        <f>SUM(Ressources!I17)</f>
        <v>8800</v>
      </c>
      <c r="M7" s="150">
        <f t="shared" si="0"/>
        <v>7.2371992039080872E-3</v>
      </c>
      <c r="O7" s="287" t="s">
        <v>33</v>
      </c>
      <c r="P7" s="212">
        <v>8800</v>
      </c>
      <c r="Q7" s="205">
        <v>4</v>
      </c>
      <c r="R7" s="205">
        <v>0</v>
      </c>
      <c r="S7" s="205">
        <v>0</v>
      </c>
      <c r="T7" s="205">
        <v>0</v>
      </c>
      <c r="U7" s="205">
        <v>0</v>
      </c>
      <c r="V7" s="206">
        <v>0</v>
      </c>
    </row>
    <row r="8" spans="1:24">
      <c r="B8" s="125" t="s">
        <v>37</v>
      </c>
      <c r="C8" s="121">
        <f>COUNTA(Ressources!G18:G22)</f>
        <v>4</v>
      </c>
      <c r="D8" s="122">
        <f>COUNTA(Ressources!J18:J22)</f>
        <v>3</v>
      </c>
      <c r="E8" s="123">
        <f>COUNTA(Ressources!O18:O22)</f>
        <v>3</v>
      </c>
      <c r="F8" s="122">
        <f>COUNTA(Ressources!T18:T22)</f>
        <v>1</v>
      </c>
      <c r="G8" s="123">
        <f>COUNTA(Ressources!Y18:Y22)</f>
        <v>0</v>
      </c>
      <c r="H8" s="122">
        <f>COUNTA(Ressources!AD18:AD22)</f>
        <v>2</v>
      </c>
      <c r="I8" s="124">
        <f>COUNTA(Ressources!AI18:AI22)</f>
        <v>3</v>
      </c>
      <c r="J8" s="28">
        <f t="shared" si="1"/>
        <v>16</v>
      </c>
      <c r="L8" s="147">
        <f>SUM(Ressources!I18:I22)</f>
        <v>108680</v>
      </c>
      <c r="M8" s="150">
        <f t="shared" si="0"/>
        <v>8.9379410168264881E-2</v>
      </c>
      <c r="O8" s="125" t="s">
        <v>37</v>
      </c>
      <c r="P8" s="212">
        <v>108680</v>
      </c>
      <c r="Q8" s="205">
        <v>44</v>
      </c>
      <c r="R8" s="205">
        <v>41.7</v>
      </c>
      <c r="S8" s="205">
        <v>7.5</v>
      </c>
      <c r="T8" s="205">
        <v>0</v>
      </c>
      <c r="U8" s="205">
        <v>16.600000000000001</v>
      </c>
      <c r="V8" s="206">
        <v>20.5</v>
      </c>
    </row>
    <row r="9" spans="1:24">
      <c r="B9" s="114" t="s">
        <v>29</v>
      </c>
      <c r="C9" s="33">
        <f>COUNTA(Ressources!G23:G28)</f>
        <v>3</v>
      </c>
      <c r="D9" s="119">
        <f>COUNTA(Ressources!J23:J28)</f>
        <v>3</v>
      </c>
      <c r="E9" s="33">
        <f>COUNTA(Ressources!O23:O28)</f>
        <v>3</v>
      </c>
      <c r="F9" s="119">
        <f>COUNTA(Ressources!T23:T28)</f>
        <v>3</v>
      </c>
      <c r="G9" s="33">
        <f>COUNTA(Ressources!Y23:Y28)</f>
        <v>1</v>
      </c>
      <c r="H9" s="119">
        <f>COUNTA(Ressources!AD23:AD28)</f>
        <v>1</v>
      </c>
      <c r="I9" s="120">
        <f>COUNTA(Ressources!AI23:AI28)</f>
        <v>2</v>
      </c>
      <c r="J9" s="28">
        <f t="shared" si="1"/>
        <v>16</v>
      </c>
      <c r="L9" s="147">
        <f>SUM(Ressources!I23:I28)</f>
        <v>85250</v>
      </c>
      <c r="M9" s="150">
        <f t="shared" si="0"/>
        <v>7.0110367287859604E-2</v>
      </c>
      <c r="O9" s="287" t="s">
        <v>29</v>
      </c>
      <c r="P9" s="212">
        <v>85250</v>
      </c>
      <c r="Q9" s="205">
        <v>45.534400000000005</v>
      </c>
      <c r="R9" s="205">
        <v>49.851200000000006</v>
      </c>
      <c r="S9" s="205">
        <v>16.5</v>
      </c>
      <c r="T9" s="205">
        <v>9.2064000000000004</v>
      </c>
      <c r="U9" s="205">
        <v>6.6000000000000005</v>
      </c>
      <c r="V9" s="206">
        <v>8.1999999999999993</v>
      </c>
    </row>
    <row r="10" spans="1:24">
      <c r="B10" s="125" t="s">
        <v>0</v>
      </c>
      <c r="C10" s="121">
        <f>COUNTA(Ressources!G29:G34)</f>
        <v>6</v>
      </c>
      <c r="D10" s="122">
        <f>COUNTA(Ressources!J29:J34)</f>
        <v>3</v>
      </c>
      <c r="E10" s="123">
        <f>COUNTA(Ressources!O29:O34)</f>
        <v>3</v>
      </c>
      <c r="F10" s="122">
        <f>COUNTA(Ressources!T29:T34)</f>
        <v>1</v>
      </c>
      <c r="G10" s="123">
        <f>COUNTA(Ressources!Y29:Y34)</f>
        <v>2</v>
      </c>
      <c r="H10" s="122">
        <f>COUNTA(Ressources!AD29:AD34)</f>
        <v>0</v>
      </c>
      <c r="I10" s="124">
        <f>COUNTA(Ressources!AI29:AI34)</f>
        <v>1</v>
      </c>
      <c r="J10" s="28">
        <f t="shared" si="1"/>
        <v>16</v>
      </c>
      <c r="L10" s="147">
        <f>SUM(Ressources!I29:I34)</f>
        <v>191180</v>
      </c>
      <c r="M10" s="150">
        <f t="shared" si="0"/>
        <v>0.1572281527049032</v>
      </c>
      <c r="O10" s="125" t="s">
        <v>0</v>
      </c>
      <c r="P10" s="212">
        <v>191180</v>
      </c>
      <c r="Q10" s="205">
        <v>55.779200000000003</v>
      </c>
      <c r="R10" s="205">
        <v>60.726399999999998</v>
      </c>
      <c r="S10" s="205">
        <v>9.9736000000000011</v>
      </c>
      <c r="T10" s="205">
        <v>17.473600000000001</v>
      </c>
      <c r="U10" s="205">
        <v>0</v>
      </c>
      <c r="V10" s="206">
        <v>9.1</v>
      </c>
    </row>
    <row r="11" spans="1:24">
      <c r="B11" s="114" t="s">
        <v>46</v>
      </c>
      <c r="C11" s="33">
        <f>COUNTA(Ressources!G35:G36)</f>
        <v>2</v>
      </c>
      <c r="D11" s="119">
        <f>COUNTA(Ressources!J35:J36)</f>
        <v>0</v>
      </c>
      <c r="E11" s="33">
        <f>COUNTA(Ressources!O35:O36)</f>
        <v>0</v>
      </c>
      <c r="F11" s="119">
        <f>COUNTA(Ressources!T35:T36)</f>
        <v>0</v>
      </c>
      <c r="G11" s="33">
        <f>COUNTA(Ressources!Y35:Y36)</f>
        <v>0</v>
      </c>
      <c r="H11" s="119">
        <f>COUNTA(Ressources!AD35:AD36)</f>
        <v>0</v>
      </c>
      <c r="I11" s="120">
        <f>COUNTA(Ressources!AI35:AI36)</f>
        <v>1</v>
      </c>
      <c r="J11" s="28">
        <f t="shared" si="1"/>
        <v>3</v>
      </c>
      <c r="L11" s="147">
        <f>SUM(Ressources!I35:I36)</f>
        <v>39600.000000000007</v>
      </c>
      <c r="M11" s="150">
        <f t="shared" si="0"/>
        <v>3.2567396417586401E-2</v>
      </c>
      <c r="O11" s="287" t="s">
        <v>46</v>
      </c>
      <c r="P11" s="212">
        <v>39600.000000000007</v>
      </c>
      <c r="Q11" s="205">
        <v>0</v>
      </c>
      <c r="R11" s="205">
        <v>0</v>
      </c>
      <c r="S11" s="205">
        <v>0</v>
      </c>
      <c r="T11" s="205">
        <v>0</v>
      </c>
      <c r="U11" s="205">
        <v>0</v>
      </c>
      <c r="V11" s="206">
        <v>7.5</v>
      </c>
    </row>
    <row r="12" spans="1:24">
      <c r="B12" s="125" t="s">
        <v>38</v>
      </c>
      <c r="C12" s="121">
        <f>COUNTA(Ressources!G37:G40)</f>
        <v>4</v>
      </c>
      <c r="D12" s="122">
        <f>COUNTA(Ressources!J37:J40)</f>
        <v>3</v>
      </c>
      <c r="E12" s="123">
        <f>COUNTA(Ressources!O37:O40)</f>
        <v>4</v>
      </c>
      <c r="F12" s="122">
        <f>COUNTA(Ressources!T37:T40)</f>
        <v>1</v>
      </c>
      <c r="G12" s="123">
        <f>COUNTA(Ressources!Y37:Y40)</f>
        <v>3</v>
      </c>
      <c r="H12" s="122">
        <f>COUNTA(Ressources!AD37:AD40)</f>
        <v>0</v>
      </c>
      <c r="I12" s="124">
        <f>COUNTA(Ressources!AI37:AI40)</f>
        <v>1</v>
      </c>
      <c r="J12" s="28">
        <f t="shared" si="1"/>
        <v>16</v>
      </c>
      <c r="L12" s="147">
        <f>SUM(Ressources!I37:I40)</f>
        <v>105160</v>
      </c>
      <c r="M12" s="150">
        <f t="shared" si="0"/>
        <v>8.6484530486701641E-2</v>
      </c>
      <c r="O12" s="125" t="s">
        <v>38</v>
      </c>
      <c r="P12" s="212">
        <v>105160</v>
      </c>
      <c r="Q12" s="205">
        <v>57.500000000000007</v>
      </c>
      <c r="R12" s="205">
        <v>52.400000000000006</v>
      </c>
      <c r="S12" s="205">
        <v>5.5</v>
      </c>
      <c r="T12" s="205">
        <v>21.150000000000002</v>
      </c>
      <c r="U12" s="205">
        <v>0</v>
      </c>
      <c r="V12" s="206">
        <v>5.5</v>
      </c>
    </row>
    <row r="13" spans="1:24">
      <c r="B13" s="114" t="s">
        <v>20</v>
      </c>
      <c r="C13" s="33">
        <f>COUNTA(Ressources!G41:G42)</f>
        <v>1</v>
      </c>
      <c r="D13" s="119">
        <f>COUNTA(Ressources!J41:J42)</f>
        <v>2</v>
      </c>
      <c r="E13" s="33">
        <f>COUNTA(Ressources!O41:O42)</f>
        <v>1</v>
      </c>
      <c r="F13" s="119">
        <f>COUNTA(Ressources!T41:T42)</f>
        <v>0</v>
      </c>
      <c r="G13" s="33">
        <f>COUNTA(Ressources!Y41:Y42)</f>
        <v>1</v>
      </c>
      <c r="H13" s="119">
        <f>COUNTA(Ressources!AD41:AD42)</f>
        <v>1</v>
      </c>
      <c r="I13" s="120">
        <f>COUNTA(Ressources!AI41:AI42)</f>
        <v>2</v>
      </c>
      <c r="J13" s="28">
        <f t="shared" si="1"/>
        <v>8</v>
      </c>
      <c r="L13" s="147">
        <f>SUM(Ressources!I41:I42)</f>
        <v>31900.000000000004</v>
      </c>
      <c r="M13" s="150">
        <f t="shared" si="0"/>
        <v>2.623484711416682E-2</v>
      </c>
      <c r="O13" s="287" t="s">
        <v>20</v>
      </c>
      <c r="P13" s="212">
        <v>31900.000000000004</v>
      </c>
      <c r="Q13" s="205">
        <v>24.2</v>
      </c>
      <c r="R13" s="205">
        <v>18.2</v>
      </c>
      <c r="S13" s="205">
        <v>0</v>
      </c>
      <c r="T13" s="205">
        <v>6</v>
      </c>
      <c r="U13" s="205">
        <v>4.5999999999999996</v>
      </c>
      <c r="V13" s="206">
        <v>12.1</v>
      </c>
    </row>
    <row r="14" spans="1:24">
      <c r="B14" s="125" t="s">
        <v>2</v>
      </c>
      <c r="C14" s="121">
        <f>COUNTA(Ressources!G43:G46)</f>
        <v>3</v>
      </c>
      <c r="D14" s="122">
        <f>COUNTA(Ressources!J43:J46)</f>
        <v>2</v>
      </c>
      <c r="E14" s="123">
        <f>COUNTA(Ressources!O43:O46)</f>
        <v>2</v>
      </c>
      <c r="F14" s="122">
        <f>COUNTA(Ressources!T43:T46)</f>
        <v>2</v>
      </c>
      <c r="G14" s="123">
        <f>COUNTA(Ressources!Y43:Y46)</f>
        <v>2</v>
      </c>
      <c r="H14" s="122">
        <f>COUNTA(Ressources!AD43:AD46)</f>
        <v>1</v>
      </c>
      <c r="I14" s="124">
        <f>COUNTA(Ressources!AI43:AI46)</f>
        <v>0</v>
      </c>
      <c r="J14" s="28">
        <f t="shared" si="1"/>
        <v>12</v>
      </c>
      <c r="L14" s="147">
        <f>SUM(Ressources!I43:I46)</f>
        <v>83380</v>
      </c>
      <c r="M14" s="150">
        <f t="shared" si="0"/>
        <v>6.8572462457029124E-2</v>
      </c>
      <c r="O14" s="125" t="s">
        <v>2</v>
      </c>
      <c r="P14" s="212">
        <v>83380</v>
      </c>
      <c r="Q14" s="205">
        <v>38</v>
      </c>
      <c r="R14" s="205">
        <v>36.4</v>
      </c>
      <c r="S14" s="205">
        <v>22.6</v>
      </c>
      <c r="T14" s="205">
        <v>18.2</v>
      </c>
      <c r="U14" s="205">
        <v>9.1</v>
      </c>
      <c r="V14" s="206">
        <v>0</v>
      </c>
    </row>
    <row r="15" spans="1:24">
      <c r="B15" s="133" t="s">
        <v>1</v>
      </c>
      <c r="C15" s="33">
        <f>COUNTA(Ressources!G47:G52)</f>
        <v>6</v>
      </c>
      <c r="D15" s="119">
        <f>COUNTA(Ressources!J47:J52)</f>
        <v>3</v>
      </c>
      <c r="E15" s="33">
        <f>COUNTA(Ressources!O47:O52)</f>
        <v>2</v>
      </c>
      <c r="F15" s="119">
        <f>COUNTA(Ressources!T47:T52)</f>
        <v>1</v>
      </c>
      <c r="G15" s="33">
        <f>COUNTA(Ressources!Y47:Y52)</f>
        <v>1</v>
      </c>
      <c r="H15" s="119">
        <f>COUNTA(Ressources!AD47:AD52)</f>
        <v>2</v>
      </c>
      <c r="I15" s="120">
        <f>COUNTA(Ressources!AI47:AI52)</f>
        <v>1</v>
      </c>
      <c r="J15" s="28">
        <f t="shared" si="1"/>
        <v>16</v>
      </c>
      <c r="L15" s="147">
        <f>SUM(Ressources!I47:I52)</f>
        <v>191840</v>
      </c>
      <c r="M15" s="150">
        <f t="shared" si="0"/>
        <v>0.15777094264519631</v>
      </c>
      <c r="O15" s="133" t="s">
        <v>1</v>
      </c>
      <c r="P15" s="212">
        <v>191840</v>
      </c>
      <c r="Q15" s="205">
        <v>50.0032</v>
      </c>
      <c r="R15" s="205">
        <v>45.375199999999992</v>
      </c>
      <c r="S15" s="205">
        <v>9.1</v>
      </c>
      <c r="T15" s="205">
        <v>9.1</v>
      </c>
      <c r="U15" s="205">
        <v>18.2</v>
      </c>
      <c r="V15" s="206">
        <v>10.410399999999999</v>
      </c>
    </row>
    <row r="16" spans="1:24">
      <c r="B16" s="125" t="s">
        <v>76</v>
      </c>
      <c r="C16" s="123">
        <f>COUNTA(Ressources!G53:G56)</f>
        <v>1</v>
      </c>
      <c r="D16" s="122">
        <f>COUNTA(Ressources!J53:J56)</f>
        <v>0</v>
      </c>
      <c r="E16" s="123">
        <f>COUNTA(Ressources!O53:O56)</f>
        <v>0</v>
      </c>
      <c r="F16" s="122">
        <f>COUNTA(Ressources!T53:T56)</f>
        <v>0</v>
      </c>
      <c r="G16" s="123">
        <f>COUNTA(Ressources!Y53:Y56)</f>
        <v>0</v>
      </c>
      <c r="H16" s="122">
        <f>COUNTA(Ressources!AD53:AD56)</f>
        <v>0</v>
      </c>
      <c r="I16" s="124">
        <f>COUNTA(Ressources!AI53:AI56)</f>
        <v>0</v>
      </c>
      <c r="J16" s="28">
        <f t="shared" si="1"/>
        <v>1</v>
      </c>
      <c r="L16" s="147">
        <f>SUM(Ressources!I53:I54)</f>
        <v>36300</v>
      </c>
      <c r="M16" s="150">
        <f t="shared" si="0"/>
        <v>2.9853446716120863E-2</v>
      </c>
      <c r="O16" s="125" t="s">
        <v>76</v>
      </c>
      <c r="P16" s="212">
        <v>36300</v>
      </c>
      <c r="Q16" s="205">
        <v>0</v>
      </c>
      <c r="R16" s="205">
        <v>0</v>
      </c>
      <c r="S16" s="205">
        <v>0</v>
      </c>
      <c r="T16" s="205">
        <v>0</v>
      </c>
      <c r="U16" s="205">
        <v>0</v>
      </c>
      <c r="V16" s="206">
        <v>0</v>
      </c>
    </row>
    <row r="17" spans="2:22" ht="15.75" thickBot="1">
      <c r="B17" s="115" t="s">
        <v>34</v>
      </c>
      <c r="C17" s="134">
        <f>COUNTA(Ressources!G57:G61)</f>
        <v>3</v>
      </c>
      <c r="D17" s="135">
        <f>COUNTA(Ressources!J57:J61)</f>
        <v>3</v>
      </c>
      <c r="E17" s="136">
        <f>COUNTA(Ressources!O57:O61)</f>
        <v>2</v>
      </c>
      <c r="F17" s="135">
        <f>COUNTA(Ressources!T57:T61)</f>
        <v>2</v>
      </c>
      <c r="G17" s="136">
        <f>COUNTA(Ressources!Y57:Y60)</f>
        <v>0</v>
      </c>
      <c r="H17" s="135">
        <f>COUNTA(Ressources!AD57:AD61)</f>
        <v>1</v>
      </c>
      <c r="I17" s="137">
        <f>COUNTA(Ressources!AI57:AI61)</f>
        <v>1</v>
      </c>
      <c r="J17" s="29">
        <f t="shared" si="1"/>
        <v>12</v>
      </c>
      <c r="L17" s="148">
        <f>SUM(Ressources!I57:I61)</f>
        <v>55000</v>
      </c>
      <c r="M17" s="151">
        <f t="shared" si="0"/>
        <v>4.5232495024425549E-2</v>
      </c>
      <c r="O17" s="288" t="s">
        <v>34</v>
      </c>
      <c r="P17" s="213">
        <v>55000</v>
      </c>
      <c r="Q17" s="207">
        <v>34</v>
      </c>
      <c r="R17" s="207">
        <v>28</v>
      </c>
      <c r="S17" s="207">
        <v>9</v>
      </c>
      <c r="T17" s="207">
        <v>4.5999999999999996</v>
      </c>
      <c r="U17" s="207">
        <v>6</v>
      </c>
      <c r="V17" s="208">
        <v>2</v>
      </c>
    </row>
    <row r="18" spans="2:22" ht="15.75" thickBot="1">
      <c r="B18" s="126" t="s">
        <v>73</v>
      </c>
      <c r="C18" s="67">
        <f>SUM(C3:C17)</f>
        <v>43</v>
      </c>
      <c r="D18" s="67">
        <f t="shared" ref="D18:I18" si="2">SUM(D3:D17)</f>
        <v>29</v>
      </c>
      <c r="E18" s="67">
        <f t="shared" si="2"/>
        <v>28</v>
      </c>
      <c r="F18" s="67">
        <f t="shared" si="2"/>
        <v>15</v>
      </c>
      <c r="G18" s="67">
        <f t="shared" si="2"/>
        <v>14</v>
      </c>
      <c r="H18" s="67">
        <f t="shared" si="2"/>
        <v>11</v>
      </c>
      <c r="I18" s="68">
        <f t="shared" si="2"/>
        <v>15</v>
      </c>
      <c r="L18">
        <f>SUM(L3:L17)</f>
        <v>1215940</v>
      </c>
      <c r="O18" s="129" t="s">
        <v>73</v>
      </c>
      <c r="P18" s="62" t="str">
        <f>CONCATENATE(TRUNC(SUM(P3:P17)/1000000,2)," M")</f>
        <v>1,21 M</v>
      </c>
      <c r="Q18" s="209">
        <f t="shared" ref="Q18:V18" si="3">TRUNC(SUM(Q3:Q17),0)</f>
        <v>469</v>
      </c>
      <c r="R18" s="209">
        <f t="shared" si="3"/>
        <v>469</v>
      </c>
      <c r="S18" s="209">
        <f t="shared" si="3"/>
        <v>110</v>
      </c>
      <c r="T18" s="209">
        <f t="shared" si="3"/>
        <v>109</v>
      </c>
      <c r="U18" s="209">
        <f t="shared" si="3"/>
        <v>82</v>
      </c>
      <c r="V18" s="210">
        <f t="shared" si="3"/>
        <v>101</v>
      </c>
    </row>
    <row r="19" spans="2:22">
      <c r="B19" s="30" t="s">
        <v>79</v>
      </c>
      <c r="C19" s="30">
        <f>COUNTIF(Cartographie!1:1048576,"O")</f>
        <v>164</v>
      </c>
      <c r="D19" s="30">
        <f>COUNTIF(Cartographie!1:1048576,"B")</f>
        <v>224</v>
      </c>
      <c r="E19" s="30">
        <f>COUNTIF(Cartographie!1:1048576,"Mi")</f>
        <v>218</v>
      </c>
      <c r="F19" s="30">
        <f>COUNTIF(Cartographie!1:1048576,"Me")</f>
        <v>211</v>
      </c>
      <c r="G19" s="30">
        <f>COUNTIF(Cartographie!1:1048576,"C")</f>
        <v>203</v>
      </c>
      <c r="H19" s="30">
        <f>COUNTIF(Cartographie!1:1048576,"S")</f>
        <v>234</v>
      </c>
      <c r="I19" s="30">
        <f>COUNTIF(Cartographie!1:1048576,"G")</f>
        <v>210</v>
      </c>
      <c r="J19" s="138">
        <f>SUM(C19:I19)</f>
        <v>1464</v>
      </c>
      <c r="K19">
        <f>J19/4</f>
        <v>366</v>
      </c>
    </row>
    <row r="20" spans="2:22">
      <c r="L20" t="s">
        <v>141</v>
      </c>
      <c r="M20" s="235">
        <f>M10+M15</f>
        <v>0.31499909535009951</v>
      </c>
      <c r="O20" s="33" t="s">
        <v>141</v>
      </c>
      <c r="P20" s="236">
        <f>(P15+P10)/SUM(P3:P17)</f>
        <v>0.31499909535009951</v>
      </c>
      <c r="Q20" s="236">
        <f>(Q15+Q10)/Q18</f>
        <v>0.22554882729211087</v>
      </c>
      <c r="R20" s="236">
        <f t="shared" ref="R20:V20" si="4">(R15+R10)/R18</f>
        <v>0.22622942430703621</v>
      </c>
      <c r="S20" s="236">
        <f t="shared" si="4"/>
        <v>0.17339636363636363</v>
      </c>
      <c r="T20" s="236">
        <f t="shared" si="4"/>
        <v>0.24379449541284404</v>
      </c>
      <c r="U20" s="236">
        <f t="shared" si="4"/>
        <v>0.22195121951219512</v>
      </c>
      <c r="V20" s="236">
        <f t="shared" si="4"/>
        <v>0.19317227722772273</v>
      </c>
    </row>
    <row r="24" spans="2:22">
      <c r="C24" s="30" t="s">
        <v>82</v>
      </c>
      <c r="D24" s="30" t="s">
        <v>69</v>
      </c>
      <c r="E24" s="30" t="s">
        <v>124</v>
      </c>
      <c r="F24" s="30" t="s">
        <v>67</v>
      </c>
    </row>
    <row r="25" spans="2:22">
      <c r="C25" s="30">
        <f>COUNTIF(Ressources!E:E,"Necro")</f>
        <v>9</v>
      </c>
      <c r="D25" s="30">
        <f>COUNTIF(Ressources!C:E,"Academy")</f>
        <v>12</v>
      </c>
      <c r="E25" s="30">
        <f>COUNTIF(Ressources!D:F,"Inferno")</f>
        <v>2</v>
      </c>
      <c r="F25" s="30">
        <f>COUNTIF(Ressources!E:G,"Havre")</f>
        <v>23</v>
      </c>
      <c r="G25" s="30">
        <f>SUM(C25:F25)</f>
        <v>46</v>
      </c>
    </row>
    <row r="26" spans="2:22">
      <c r="C26" s="153">
        <f>C25/$G$25</f>
        <v>0.19565217391304349</v>
      </c>
      <c r="D26" s="153">
        <f t="shared" ref="D26:F26" si="5">D25/$G$25</f>
        <v>0.2608695652173913</v>
      </c>
      <c r="E26" s="153">
        <f t="shared" si="5"/>
        <v>4.3478260869565216E-2</v>
      </c>
      <c r="F26" s="153">
        <f t="shared" si="5"/>
        <v>0.5</v>
      </c>
    </row>
  </sheetData>
  <sortState ref="O3:V18">
    <sortCondition ref="P3"/>
  </sortState>
  <mergeCells count="2">
    <mergeCell ref="O1:V1"/>
    <mergeCell ref="B1:J1"/>
  </mergeCells>
  <conditionalFormatting sqref="D19:I19 C2:C1048576 A1:A1048576 H2:J1048576 B1:B23 B25:B1048576 L19:N1048576 L1:N2 D20:D1048576 F2:G23 E2:E1048576 F25:G1048576 F24 K1:O1 D26:F26 O1:O1048576 P2 P18:P1048576 W1:XFD1048576 K1:K1048576 D2:D18 Q2:V1048576">
    <cfRule type="cellIs" dxfId="29" priority="1" operator="equal">
      <formula>0</formula>
    </cfRule>
  </conditionalFormatting>
  <pageMargins left="0.7" right="0.7" top="0.75" bottom="0.75" header="0.3" footer="0.3"/>
  <pageSetup paperSize="9" orientation="portrait" horizontalDpi="300" verticalDpi="0" copies="0" r:id="rId1"/>
  <ignoredErrors>
    <ignoredError sqref="G17 C4:C7 D3:I7 D9:I15 C9:C15 C8:I8 C16:I16" formulaRange="1"/>
  </ignoredErrors>
  <drawing r:id="rId2"/>
</worksheet>
</file>

<file path=xl/worksheets/sheet3.xml><?xml version="1.0" encoding="utf-8"?>
<worksheet xmlns="http://schemas.openxmlformats.org/spreadsheetml/2006/main" xmlns:r="http://schemas.openxmlformats.org/officeDocument/2006/relationships">
  <sheetPr codeName="Feuil2"/>
  <dimension ref="A1:CO63"/>
  <sheetViews>
    <sheetView zoomScale="70" zoomScaleNormal="70" workbookViewId="0">
      <pane xSplit="3" ySplit="3" topLeftCell="K16" activePane="bottomRight" state="frozen"/>
      <selection pane="topRight" activeCell="D1" sqref="D1"/>
      <selection pane="bottomLeft" activeCell="A4" sqref="A4"/>
      <selection pane="bottomRight" activeCell="BA31" sqref="AZ30:BA31"/>
    </sheetView>
  </sheetViews>
  <sheetFormatPr baseColWidth="10" defaultRowHeight="21"/>
  <cols>
    <col min="1" max="1" width="3.140625" style="285" customWidth="1"/>
    <col min="2" max="9" width="3.7109375" style="25" customWidth="1"/>
    <col min="10" max="13" width="3.7109375" style="24" customWidth="1"/>
    <col min="14" max="14" width="3.5703125" style="24" bestFit="1" customWidth="1"/>
    <col min="15" max="15" width="4.28515625" style="24" bestFit="1" customWidth="1"/>
    <col min="16" max="19" width="3.85546875" style="24" bestFit="1" customWidth="1"/>
    <col min="20" max="20" width="3.5703125" style="24" bestFit="1" customWidth="1"/>
    <col min="21" max="21" width="3.85546875" style="24" bestFit="1" customWidth="1"/>
    <col min="22" max="22" width="3.5703125" style="24" bestFit="1" customWidth="1"/>
    <col min="23" max="25" width="3.85546875" style="24" bestFit="1" customWidth="1"/>
    <col min="26" max="26" width="3.5703125" style="24" bestFit="1" customWidth="1"/>
    <col min="27" max="65" width="4.28515625" style="24" bestFit="1" customWidth="1"/>
    <col min="66" max="66" width="3.5703125" style="24" bestFit="1" customWidth="1"/>
    <col min="67" max="79" width="4.28515625" style="24" bestFit="1" customWidth="1"/>
    <col min="80" max="93" width="3.7109375" style="24" customWidth="1"/>
    <col min="94" max="16384" width="11.42578125" style="24"/>
  </cols>
  <sheetData>
    <row r="1" spans="1:93" s="285" customFormat="1" ht="12" thickBot="1">
      <c r="D1" s="285">
        <v>239</v>
      </c>
      <c r="E1" s="285">
        <v>239</v>
      </c>
      <c r="F1" s="285">
        <f>D1+1</f>
        <v>240</v>
      </c>
      <c r="G1" s="285">
        <f t="shared" ref="G1:BR1" si="0">E1+1</f>
        <v>240</v>
      </c>
      <c r="H1" s="285">
        <f t="shared" si="0"/>
        <v>241</v>
      </c>
      <c r="I1" s="285">
        <f t="shared" si="0"/>
        <v>241</v>
      </c>
      <c r="J1" s="285">
        <f t="shared" si="0"/>
        <v>242</v>
      </c>
      <c r="K1" s="285">
        <f t="shared" si="0"/>
        <v>242</v>
      </c>
      <c r="L1" s="285">
        <f t="shared" si="0"/>
        <v>243</v>
      </c>
      <c r="M1" s="285">
        <f t="shared" si="0"/>
        <v>243</v>
      </c>
      <c r="N1" s="285">
        <f t="shared" si="0"/>
        <v>244</v>
      </c>
      <c r="O1" s="285">
        <f t="shared" si="0"/>
        <v>244</v>
      </c>
      <c r="P1" s="285">
        <f t="shared" si="0"/>
        <v>245</v>
      </c>
      <c r="Q1" s="285">
        <f t="shared" si="0"/>
        <v>245</v>
      </c>
      <c r="R1" s="285">
        <f t="shared" si="0"/>
        <v>246</v>
      </c>
      <c r="S1" s="285">
        <f t="shared" si="0"/>
        <v>246</v>
      </c>
      <c r="T1" s="285">
        <f t="shared" si="0"/>
        <v>247</v>
      </c>
      <c r="U1" s="285">
        <f t="shared" si="0"/>
        <v>247</v>
      </c>
      <c r="V1" s="285">
        <f t="shared" si="0"/>
        <v>248</v>
      </c>
      <c r="W1" s="285">
        <f t="shared" si="0"/>
        <v>248</v>
      </c>
      <c r="X1" s="285">
        <f t="shared" si="0"/>
        <v>249</v>
      </c>
      <c r="Y1" s="285">
        <f t="shared" si="0"/>
        <v>249</v>
      </c>
      <c r="Z1" s="285">
        <f t="shared" si="0"/>
        <v>250</v>
      </c>
      <c r="AA1" s="285">
        <f t="shared" si="0"/>
        <v>250</v>
      </c>
      <c r="AB1" s="285">
        <f t="shared" si="0"/>
        <v>251</v>
      </c>
      <c r="AC1" s="285">
        <f t="shared" si="0"/>
        <v>251</v>
      </c>
      <c r="AD1" s="285">
        <f t="shared" si="0"/>
        <v>252</v>
      </c>
      <c r="AE1" s="285">
        <f t="shared" si="0"/>
        <v>252</v>
      </c>
      <c r="AF1" s="285">
        <f t="shared" si="0"/>
        <v>253</v>
      </c>
      <c r="AG1" s="285">
        <f t="shared" si="0"/>
        <v>253</v>
      </c>
      <c r="AH1" s="285">
        <f t="shared" si="0"/>
        <v>254</v>
      </c>
      <c r="AI1" s="285">
        <f t="shared" si="0"/>
        <v>254</v>
      </c>
      <c r="AJ1" s="285">
        <f t="shared" si="0"/>
        <v>255</v>
      </c>
      <c r="AK1" s="285">
        <f t="shared" si="0"/>
        <v>255</v>
      </c>
      <c r="AL1" s="285">
        <f t="shared" si="0"/>
        <v>256</v>
      </c>
      <c r="AM1" s="285">
        <f t="shared" si="0"/>
        <v>256</v>
      </c>
      <c r="AN1" s="285">
        <f t="shared" si="0"/>
        <v>257</v>
      </c>
      <c r="AO1" s="285">
        <f t="shared" si="0"/>
        <v>257</v>
      </c>
      <c r="AP1" s="285">
        <f t="shared" si="0"/>
        <v>258</v>
      </c>
      <c r="AQ1" s="285">
        <f t="shared" si="0"/>
        <v>258</v>
      </c>
      <c r="AR1" s="285">
        <f t="shared" si="0"/>
        <v>259</v>
      </c>
      <c r="AS1" s="285">
        <f t="shared" si="0"/>
        <v>259</v>
      </c>
      <c r="AT1" s="285">
        <f t="shared" si="0"/>
        <v>260</v>
      </c>
      <c r="AU1" s="285">
        <f t="shared" si="0"/>
        <v>260</v>
      </c>
      <c r="AV1" s="285">
        <f t="shared" si="0"/>
        <v>261</v>
      </c>
      <c r="AW1" s="285">
        <f t="shared" si="0"/>
        <v>261</v>
      </c>
      <c r="AX1" s="285">
        <f t="shared" si="0"/>
        <v>262</v>
      </c>
      <c r="AY1" s="285">
        <f t="shared" si="0"/>
        <v>262</v>
      </c>
      <c r="AZ1" s="285">
        <f t="shared" si="0"/>
        <v>263</v>
      </c>
      <c r="BA1" s="285">
        <f t="shared" si="0"/>
        <v>263</v>
      </c>
      <c r="BB1" s="285">
        <f t="shared" si="0"/>
        <v>264</v>
      </c>
      <c r="BC1" s="285">
        <f t="shared" si="0"/>
        <v>264</v>
      </c>
      <c r="BD1" s="285">
        <f t="shared" si="0"/>
        <v>265</v>
      </c>
      <c r="BE1" s="285">
        <f t="shared" si="0"/>
        <v>265</v>
      </c>
      <c r="BF1" s="285">
        <f t="shared" si="0"/>
        <v>266</v>
      </c>
      <c r="BG1" s="285">
        <f t="shared" si="0"/>
        <v>266</v>
      </c>
      <c r="BH1" s="285">
        <f t="shared" si="0"/>
        <v>267</v>
      </c>
      <c r="BI1" s="285">
        <f t="shared" si="0"/>
        <v>267</v>
      </c>
      <c r="BJ1" s="285">
        <f t="shared" si="0"/>
        <v>268</v>
      </c>
      <c r="BK1" s="285">
        <f t="shared" si="0"/>
        <v>268</v>
      </c>
      <c r="BL1" s="285">
        <f t="shared" si="0"/>
        <v>269</v>
      </c>
      <c r="BM1" s="285">
        <f t="shared" si="0"/>
        <v>269</v>
      </c>
      <c r="BN1" s="285">
        <f t="shared" si="0"/>
        <v>270</v>
      </c>
      <c r="BO1" s="285">
        <f t="shared" si="0"/>
        <v>270</v>
      </c>
      <c r="BP1" s="285">
        <f t="shared" si="0"/>
        <v>271</v>
      </c>
      <c r="BQ1" s="285">
        <f t="shared" si="0"/>
        <v>271</v>
      </c>
      <c r="BR1" s="285">
        <f t="shared" si="0"/>
        <v>272</v>
      </c>
      <c r="BS1" s="285">
        <f t="shared" ref="BS1:CO1" si="1">BQ1+1</f>
        <v>272</v>
      </c>
      <c r="BT1" s="285">
        <f t="shared" si="1"/>
        <v>273</v>
      </c>
      <c r="BU1" s="285">
        <f t="shared" si="1"/>
        <v>273</v>
      </c>
      <c r="BV1" s="285">
        <f t="shared" si="1"/>
        <v>274</v>
      </c>
      <c r="BW1" s="285">
        <f t="shared" si="1"/>
        <v>274</v>
      </c>
      <c r="BX1" s="285">
        <f t="shared" si="1"/>
        <v>275</v>
      </c>
      <c r="BY1" s="285">
        <f t="shared" si="1"/>
        <v>275</v>
      </c>
      <c r="BZ1" s="285">
        <f t="shared" si="1"/>
        <v>276</v>
      </c>
      <c r="CA1" s="285">
        <f t="shared" si="1"/>
        <v>276</v>
      </c>
      <c r="CB1" s="285">
        <f t="shared" si="1"/>
        <v>277</v>
      </c>
      <c r="CC1" s="285">
        <f t="shared" si="1"/>
        <v>277</v>
      </c>
      <c r="CD1" s="285">
        <f t="shared" si="1"/>
        <v>278</v>
      </c>
      <c r="CE1" s="285">
        <f t="shared" si="1"/>
        <v>278</v>
      </c>
      <c r="CF1" s="285">
        <f t="shared" si="1"/>
        <v>279</v>
      </c>
      <c r="CG1" s="285">
        <f t="shared" si="1"/>
        <v>279</v>
      </c>
      <c r="CH1" s="285">
        <f t="shared" si="1"/>
        <v>280</v>
      </c>
      <c r="CI1" s="285">
        <f t="shared" si="1"/>
        <v>280</v>
      </c>
      <c r="CJ1" s="285">
        <f t="shared" si="1"/>
        <v>281</v>
      </c>
      <c r="CK1" s="285">
        <f t="shared" si="1"/>
        <v>281</v>
      </c>
      <c r="CL1" s="285">
        <f t="shared" si="1"/>
        <v>282</v>
      </c>
      <c r="CM1" s="285">
        <f t="shared" si="1"/>
        <v>282</v>
      </c>
      <c r="CN1" s="285">
        <f t="shared" si="1"/>
        <v>283</v>
      </c>
      <c r="CO1" s="285">
        <f t="shared" si="1"/>
        <v>283</v>
      </c>
    </row>
    <row r="2" spans="1:93" s="25" customFormat="1" ht="18.75" customHeight="1" thickTop="1">
      <c r="A2" s="285"/>
      <c r="B2" s="437"/>
      <c r="C2" s="438"/>
      <c r="D2" s="432">
        <v>239</v>
      </c>
      <c r="E2" s="433"/>
      <c r="F2" s="432">
        <v>240</v>
      </c>
      <c r="G2" s="433"/>
      <c r="H2" s="432">
        <v>241</v>
      </c>
      <c r="I2" s="433"/>
      <c r="J2" s="432">
        <v>242</v>
      </c>
      <c r="K2" s="433"/>
      <c r="L2" s="432">
        <v>243</v>
      </c>
      <c r="M2" s="433"/>
      <c r="N2" s="432">
        <v>244</v>
      </c>
      <c r="O2" s="433"/>
      <c r="P2" s="432">
        <v>245</v>
      </c>
      <c r="Q2" s="433"/>
      <c r="R2" s="432">
        <v>246</v>
      </c>
      <c r="S2" s="433"/>
      <c r="T2" s="432">
        <v>247</v>
      </c>
      <c r="U2" s="433"/>
      <c r="V2" s="432">
        <v>248</v>
      </c>
      <c r="W2" s="433"/>
      <c r="X2" s="432">
        <v>249</v>
      </c>
      <c r="Y2" s="433"/>
      <c r="Z2" s="432">
        <v>250</v>
      </c>
      <c r="AA2" s="433"/>
      <c r="AB2" s="432">
        <v>251</v>
      </c>
      <c r="AC2" s="433"/>
      <c r="AD2" s="432">
        <v>252</v>
      </c>
      <c r="AE2" s="433"/>
      <c r="AF2" s="432">
        <v>253</v>
      </c>
      <c r="AG2" s="433"/>
      <c r="AH2" s="432">
        <v>254</v>
      </c>
      <c r="AI2" s="433"/>
      <c r="AJ2" s="432">
        <v>255</v>
      </c>
      <c r="AK2" s="433"/>
      <c r="AL2" s="432">
        <v>256</v>
      </c>
      <c r="AM2" s="433"/>
      <c r="AN2" s="432">
        <v>257</v>
      </c>
      <c r="AO2" s="433"/>
      <c r="AP2" s="432">
        <v>258</v>
      </c>
      <c r="AQ2" s="433"/>
      <c r="AR2" s="432">
        <v>259</v>
      </c>
      <c r="AS2" s="433"/>
      <c r="AT2" s="432">
        <v>260</v>
      </c>
      <c r="AU2" s="433"/>
      <c r="AV2" s="432">
        <v>261</v>
      </c>
      <c r="AW2" s="433"/>
      <c r="AX2" s="432">
        <v>262</v>
      </c>
      <c r="AY2" s="433"/>
      <c r="AZ2" s="432">
        <v>263</v>
      </c>
      <c r="BA2" s="433"/>
      <c r="BB2" s="432">
        <v>264</v>
      </c>
      <c r="BC2" s="433"/>
      <c r="BD2" s="432">
        <v>265</v>
      </c>
      <c r="BE2" s="433"/>
      <c r="BF2" s="432">
        <v>266</v>
      </c>
      <c r="BG2" s="433"/>
      <c r="BH2" s="432">
        <v>267</v>
      </c>
      <c r="BI2" s="433"/>
      <c r="BJ2" s="432">
        <v>268</v>
      </c>
      <c r="BK2" s="433"/>
      <c r="BL2" s="432">
        <v>269</v>
      </c>
      <c r="BM2" s="433"/>
      <c r="BN2" s="432">
        <v>270</v>
      </c>
      <c r="BO2" s="433"/>
      <c r="BP2" s="432">
        <v>271</v>
      </c>
      <c r="BQ2" s="433"/>
      <c r="BR2" s="432">
        <v>272</v>
      </c>
      <c r="BS2" s="433"/>
      <c r="BT2" s="432">
        <v>273</v>
      </c>
      <c r="BU2" s="433"/>
      <c r="BV2" s="432">
        <v>274</v>
      </c>
      <c r="BW2" s="433"/>
      <c r="BX2" s="432">
        <v>275</v>
      </c>
      <c r="BY2" s="433"/>
      <c r="BZ2" s="432">
        <v>276</v>
      </c>
      <c r="CA2" s="433"/>
      <c r="CB2" s="432">
        <v>277</v>
      </c>
      <c r="CC2" s="433"/>
      <c r="CD2" s="432">
        <v>278</v>
      </c>
      <c r="CE2" s="433"/>
      <c r="CF2" s="432">
        <v>279</v>
      </c>
      <c r="CG2" s="433"/>
      <c r="CH2" s="432">
        <v>280</v>
      </c>
      <c r="CI2" s="433"/>
      <c r="CJ2" s="432">
        <v>281</v>
      </c>
      <c r="CK2" s="433"/>
      <c r="CL2" s="432">
        <v>282</v>
      </c>
      <c r="CM2" s="433"/>
      <c r="CN2" s="432">
        <v>283</v>
      </c>
      <c r="CO2" s="433"/>
    </row>
    <row r="3" spans="1:93" s="25" customFormat="1" ht="18.75" customHeight="1" thickBot="1">
      <c r="A3" s="285"/>
      <c r="B3" s="423"/>
      <c r="C3" s="424"/>
      <c r="D3" s="434"/>
      <c r="E3" s="435"/>
      <c r="F3" s="434"/>
      <c r="G3" s="435"/>
      <c r="H3" s="434"/>
      <c r="I3" s="435"/>
      <c r="J3" s="434"/>
      <c r="K3" s="435"/>
      <c r="L3" s="434"/>
      <c r="M3" s="435"/>
      <c r="N3" s="434"/>
      <c r="O3" s="435"/>
      <c r="P3" s="434"/>
      <c r="Q3" s="435"/>
      <c r="R3" s="434"/>
      <c r="S3" s="435"/>
      <c r="T3" s="434"/>
      <c r="U3" s="435"/>
      <c r="V3" s="434"/>
      <c r="W3" s="435"/>
      <c r="X3" s="434"/>
      <c r="Y3" s="435"/>
      <c r="Z3" s="434"/>
      <c r="AA3" s="435"/>
      <c r="AB3" s="434"/>
      <c r="AC3" s="435"/>
      <c r="AD3" s="434"/>
      <c r="AE3" s="435"/>
      <c r="AF3" s="434"/>
      <c r="AG3" s="435"/>
      <c r="AH3" s="434"/>
      <c r="AI3" s="435"/>
      <c r="AJ3" s="434"/>
      <c r="AK3" s="435"/>
      <c r="AL3" s="434"/>
      <c r="AM3" s="435"/>
      <c r="AN3" s="434"/>
      <c r="AO3" s="435"/>
      <c r="AP3" s="434"/>
      <c r="AQ3" s="435"/>
      <c r="AR3" s="434"/>
      <c r="AS3" s="435"/>
      <c r="AT3" s="434"/>
      <c r="AU3" s="435"/>
      <c r="AV3" s="434"/>
      <c r="AW3" s="435"/>
      <c r="AX3" s="434"/>
      <c r="AY3" s="435"/>
      <c r="AZ3" s="434"/>
      <c r="BA3" s="435"/>
      <c r="BB3" s="434"/>
      <c r="BC3" s="435"/>
      <c r="BD3" s="434"/>
      <c r="BE3" s="435"/>
      <c r="BF3" s="434"/>
      <c r="BG3" s="435"/>
      <c r="BH3" s="434"/>
      <c r="BI3" s="435"/>
      <c r="BJ3" s="434"/>
      <c r="BK3" s="435"/>
      <c r="BL3" s="434"/>
      <c r="BM3" s="435"/>
      <c r="BN3" s="434"/>
      <c r="BO3" s="435"/>
      <c r="BP3" s="434"/>
      <c r="BQ3" s="435"/>
      <c r="BR3" s="434"/>
      <c r="BS3" s="435"/>
      <c r="BT3" s="434"/>
      <c r="BU3" s="435"/>
      <c r="BV3" s="434"/>
      <c r="BW3" s="435"/>
      <c r="BX3" s="434"/>
      <c r="BY3" s="435"/>
      <c r="BZ3" s="434"/>
      <c r="CA3" s="435"/>
      <c r="CB3" s="434"/>
      <c r="CC3" s="435"/>
      <c r="CD3" s="434"/>
      <c r="CE3" s="435"/>
      <c r="CF3" s="434"/>
      <c r="CG3" s="435"/>
      <c r="CH3" s="434"/>
      <c r="CI3" s="435"/>
      <c r="CJ3" s="434"/>
      <c r="CK3" s="435"/>
      <c r="CL3" s="434"/>
      <c r="CM3" s="435"/>
      <c r="CN3" s="434"/>
      <c r="CO3" s="435"/>
    </row>
    <row r="4" spans="1:93" ht="18.75" customHeight="1">
      <c r="A4" s="285">
        <v>75</v>
      </c>
      <c r="B4" s="421">
        <v>75</v>
      </c>
      <c r="C4" s="422"/>
      <c r="D4" s="26"/>
      <c r="E4" s="102"/>
      <c r="F4" s="26"/>
      <c r="G4" s="102"/>
      <c r="H4" s="26"/>
      <c r="I4" s="102"/>
      <c r="J4" s="26"/>
      <c r="K4" s="102"/>
      <c r="L4" s="26"/>
      <c r="M4" s="26"/>
      <c r="N4" s="101"/>
      <c r="O4" s="102"/>
      <c r="P4" s="26"/>
      <c r="Q4" s="26"/>
      <c r="R4" s="101"/>
      <c r="S4" s="102"/>
      <c r="T4" s="26"/>
      <c r="U4" s="26"/>
      <c r="V4" s="101"/>
      <c r="W4" s="102"/>
      <c r="X4" s="26"/>
      <c r="Y4" s="26"/>
      <c r="Z4" s="101"/>
      <c r="AA4" s="102"/>
      <c r="AB4" s="26"/>
      <c r="AC4" s="26"/>
      <c r="AD4" s="101"/>
      <c r="AE4" s="102"/>
      <c r="AF4" s="26"/>
      <c r="AG4" s="26"/>
      <c r="AH4" s="101"/>
      <c r="AI4" s="102"/>
      <c r="AJ4" s="26"/>
      <c r="AK4" s="26"/>
      <c r="AL4" s="101"/>
      <c r="AM4" s="102"/>
      <c r="AN4" s="26"/>
      <c r="AO4" s="26"/>
      <c r="AP4" s="101"/>
      <c r="AQ4" s="102"/>
      <c r="AR4" s="26"/>
      <c r="AS4" s="26"/>
      <c r="AT4" s="101"/>
      <c r="AU4" s="102"/>
      <c r="AV4" s="26"/>
      <c r="AW4" s="26"/>
      <c r="AX4" s="101"/>
      <c r="AY4" s="102"/>
      <c r="AZ4" s="26"/>
      <c r="BA4" s="26"/>
      <c r="BB4" s="101"/>
      <c r="BC4" s="102"/>
      <c r="BD4" s="26"/>
      <c r="BE4" s="26"/>
      <c r="BF4" s="101"/>
      <c r="BG4" s="102"/>
      <c r="BH4" s="26"/>
      <c r="BI4" s="26"/>
      <c r="BJ4" s="101"/>
      <c r="BK4" s="102"/>
      <c r="BL4" s="26"/>
      <c r="BM4" s="26"/>
      <c r="BN4" s="101"/>
      <c r="BO4" s="102"/>
      <c r="BP4" s="26"/>
      <c r="BQ4" s="26"/>
      <c r="BR4" s="101"/>
      <c r="BS4" s="102"/>
      <c r="BT4" s="26"/>
      <c r="BU4" s="26"/>
      <c r="BV4" s="101"/>
      <c r="BW4" s="102"/>
      <c r="BX4" s="26"/>
      <c r="BY4" s="26"/>
      <c r="BZ4" s="101"/>
      <c r="CA4" s="102"/>
      <c r="CB4" s="26"/>
      <c r="CC4" s="26"/>
      <c r="CD4" s="101"/>
      <c r="CE4" s="102"/>
      <c r="CF4" s="26"/>
      <c r="CG4" s="102"/>
      <c r="CH4" s="101"/>
      <c r="CI4" s="102"/>
      <c r="CJ4" s="26"/>
      <c r="CK4" s="102"/>
      <c r="CL4" s="101"/>
      <c r="CM4" s="102"/>
      <c r="CN4" s="26"/>
      <c r="CO4" s="102"/>
    </row>
    <row r="5" spans="1:93" ht="18.75" customHeight="1" thickBot="1">
      <c r="A5" s="285">
        <v>75</v>
      </c>
      <c r="B5" s="423"/>
      <c r="C5" s="424"/>
      <c r="D5" s="106"/>
      <c r="E5" s="104"/>
      <c r="F5" s="106"/>
      <c r="G5" s="104"/>
      <c r="H5" s="106"/>
      <c r="I5" s="104"/>
      <c r="J5" s="106"/>
      <c r="K5" s="104"/>
      <c r="L5" s="106"/>
      <c r="M5" s="106"/>
      <c r="N5" s="103"/>
      <c r="O5" s="104"/>
      <c r="P5" s="106"/>
      <c r="Q5" s="106"/>
      <c r="R5" s="103"/>
      <c r="S5" s="104"/>
      <c r="T5" s="106"/>
      <c r="U5" s="106"/>
      <c r="V5" s="103"/>
      <c r="W5" s="104"/>
      <c r="X5" s="106"/>
      <c r="Y5" s="106"/>
      <c r="Z5" s="103"/>
      <c r="AA5" s="104"/>
      <c r="AB5" s="106"/>
      <c r="AC5" s="106"/>
      <c r="AD5" s="103"/>
      <c r="AE5" s="104"/>
      <c r="AF5" s="106"/>
      <c r="AG5" s="106"/>
      <c r="AH5" s="103"/>
      <c r="AI5" s="104"/>
      <c r="AJ5" s="106"/>
      <c r="AK5" s="106"/>
      <c r="AL5" s="103"/>
      <c r="AM5" s="104"/>
      <c r="AN5" s="106"/>
      <c r="AO5" s="106"/>
      <c r="AP5" s="103"/>
      <c r="AQ5" s="104"/>
      <c r="AR5" s="106"/>
      <c r="AS5" s="106"/>
      <c r="AT5" s="103"/>
      <c r="AU5" s="104"/>
      <c r="AV5" s="106"/>
      <c r="AW5" s="106"/>
      <c r="AX5" s="103"/>
      <c r="AY5" s="104"/>
      <c r="AZ5" s="106"/>
      <c r="BA5" s="106"/>
      <c r="BB5" s="103"/>
      <c r="BC5" s="104"/>
      <c r="BD5" s="106"/>
      <c r="BE5" s="106"/>
      <c r="BF5" s="103"/>
      <c r="BG5" s="104"/>
      <c r="BH5" s="106"/>
      <c r="BI5" s="106"/>
      <c r="BJ5" s="103"/>
      <c r="BK5" s="104"/>
      <c r="BL5" s="106"/>
      <c r="BM5" s="106"/>
      <c r="BN5" s="103"/>
      <c r="BO5" s="104"/>
      <c r="BP5" s="106"/>
      <c r="BQ5" s="106"/>
      <c r="BR5" s="103"/>
      <c r="BS5" s="104"/>
      <c r="BT5" s="106"/>
      <c r="BU5" s="106"/>
      <c r="BV5" s="103"/>
      <c r="BW5" s="104"/>
      <c r="BX5" s="106"/>
      <c r="BY5" s="106"/>
      <c r="BZ5" s="103"/>
      <c r="CA5" s="104"/>
      <c r="CB5" s="106"/>
      <c r="CC5" s="106"/>
      <c r="CD5" s="103"/>
      <c r="CE5" s="104"/>
      <c r="CF5" s="106"/>
      <c r="CG5" s="104"/>
      <c r="CH5" s="103"/>
      <c r="CI5" s="104"/>
      <c r="CJ5" s="106"/>
      <c r="CK5" s="104"/>
      <c r="CL5" s="103"/>
      <c r="CM5" s="104"/>
      <c r="CN5" s="106"/>
      <c r="CO5" s="104"/>
    </row>
    <row r="6" spans="1:93" ht="18.75" customHeight="1" thickTop="1">
      <c r="A6" s="285">
        <f>A4-1</f>
        <v>74</v>
      </c>
      <c r="B6" s="421">
        <v>74</v>
      </c>
      <c r="C6" s="422"/>
      <c r="D6" s="26"/>
      <c r="E6" s="102"/>
      <c r="F6" s="26"/>
      <c r="G6" s="102"/>
      <c r="H6" s="26"/>
      <c r="I6" s="102"/>
      <c r="J6" s="26"/>
      <c r="K6" s="102"/>
      <c r="L6" s="26"/>
      <c r="M6" s="26"/>
      <c r="N6" s="101"/>
      <c r="O6" s="102"/>
      <c r="P6" s="26"/>
      <c r="Q6" s="26"/>
      <c r="R6" s="101"/>
      <c r="S6" s="102"/>
      <c r="T6" s="26"/>
      <c r="U6" s="26"/>
      <c r="V6" s="101"/>
      <c r="W6" s="102"/>
      <c r="X6" s="26"/>
      <c r="Y6" s="26"/>
      <c r="Z6" s="101"/>
      <c r="AA6" s="102"/>
      <c r="AB6" s="26"/>
      <c r="AC6" s="26"/>
      <c r="AD6" s="101"/>
      <c r="AE6" s="102"/>
      <c r="AF6" s="26"/>
      <c r="AG6" s="26"/>
      <c r="AH6" s="101"/>
      <c r="AI6" s="102"/>
      <c r="AJ6" s="26"/>
      <c r="AK6" s="26"/>
      <c r="AL6" s="370" t="s">
        <v>103</v>
      </c>
      <c r="AM6" s="371"/>
      <c r="AN6" s="26" t="s">
        <v>58</v>
      </c>
      <c r="AO6" s="26" t="s">
        <v>56</v>
      </c>
      <c r="AP6" s="101" t="s">
        <v>54</v>
      </c>
      <c r="AQ6" s="102" t="s">
        <v>60</v>
      </c>
      <c r="AR6" s="359"/>
      <c r="AS6" s="360"/>
      <c r="AT6" s="101"/>
      <c r="AU6" s="102"/>
      <c r="AV6" s="26"/>
      <c r="AW6" s="26"/>
      <c r="AX6" s="101"/>
      <c r="AY6" s="102"/>
      <c r="AZ6" s="26"/>
      <c r="BA6" s="26"/>
      <c r="BB6" s="101"/>
      <c r="BC6" s="102"/>
      <c r="BD6" s="26"/>
      <c r="BE6" s="26"/>
      <c r="BF6" s="101"/>
      <c r="BG6" s="102"/>
      <c r="BH6" s="26"/>
      <c r="BI6" s="26"/>
      <c r="BJ6" s="101"/>
      <c r="BK6" s="102"/>
      <c r="BL6" s="26"/>
      <c r="BM6" s="26"/>
      <c r="BN6" s="101"/>
      <c r="BO6" s="102"/>
      <c r="BP6" s="26"/>
      <c r="BQ6" s="26"/>
      <c r="BR6" s="101"/>
      <c r="BS6" s="102"/>
      <c r="BT6" s="26"/>
      <c r="BU6" s="26"/>
      <c r="BV6" s="101"/>
      <c r="BW6" s="102"/>
      <c r="BX6" s="26"/>
      <c r="BY6" s="26"/>
      <c r="BZ6" s="101"/>
      <c r="CA6" s="102"/>
      <c r="CB6" s="26"/>
      <c r="CC6" s="26"/>
      <c r="CD6" s="101"/>
      <c r="CE6" s="102"/>
      <c r="CF6" s="26"/>
      <c r="CG6" s="102"/>
      <c r="CH6" s="101"/>
      <c r="CI6" s="102"/>
      <c r="CJ6" s="26"/>
      <c r="CK6" s="102"/>
      <c r="CL6" s="101"/>
      <c r="CM6" s="102"/>
      <c r="CN6" s="26"/>
      <c r="CO6" s="102"/>
    </row>
    <row r="7" spans="1:93" ht="18.75" customHeight="1" thickBot="1">
      <c r="A7" s="285">
        <f t="shared" ref="A7:A63" si="2">A5-1</f>
        <v>74</v>
      </c>
      <c r="B7" s="423"/>
      <c r="C7" s="424"/>
      <c r="D7" s="26"/>
      <c r="E7" s="102"/>
      <c r="F7" s="26"/>
      <c r="G7" s="102"/>
      <c r="H7" s="26"/>
      <c r="I7" s="102"/>
      <c r="J7" s="26"/>
      <c r="K7" s="102"/>
      <c r="L7" s="26"/>
      <c r="M7" s="26"/>
      <c r="N7" s="101"/>
      <c r="O7" s="102"/>
      <c r="P7" s="26"/>
      <c r="Q7" s="26"/>
      <c r="R7" s="101"/>
      <c r="S7" s="102"/>
      <c r="T7" s="26"/>
      <c r="U7" s="26"/>
      <c r="V7" s="101"/>
      <c r="W7" s="102"/>
      <c r="X7" s="26"/>
      <c r="Y7" s="26"/>
      <c r="Z7" s="101"/>
      <c r="AA7" s="102"/>
      <c r="AB7" s="26"/>
      <c r="AC7" s="26"/>
      <c r="AD7" s="101"/>
      <c r="AE7" s="102"/>
      <c r="AF7" s="26"/>
      <c r="AG7" s="26"/>
      <c r="AH7" s="101"/>
      <c r="AI7" s="102"/>
      <c r="AJ7" s="26"/>
      <c r="AK7" s="26"/>
      <c r="AL7" s="372"/>
      <c r="AM7" s="373"/>
      <c r="AN7" s="26" t="s">
        <v>57</v>
      </c>
      <c r="AO7" s="26" t="s">
        <v>57</v>
      </c>
      <c r="AP7" s="101" t="s">
        <v>57</v>
      </c>
      <c r="AQ7" s="102" t="s">
        <v>55</v>
      </c>
      <c r="AR7" s="361"/>
      <c r="AS7" s="362"/>
      <c r="AT7" s="101"/>
      <c r="AU7" s="102"/>
      <c r="AV7" s="26"/>
      <c r="AW7" s="26"/>
      <c r="AX7" s="101"/>
      <c r="AY7" s="102"/>
      <c r="AZ7" s="26"/>
      <c r="BA7" s="26"/>
      <c r="BB7" s="101"/>
      <c r="BC7" s="102"/>
      <c r="BD7" s="26"/>
      <c r="BE7" s="26"/>
      <c r="BF7" s="101"/>
      <c r="BG7" s="102"/>
      <c r="BH7" s="26"/>
      <c r="BI7" s="26"/>
      <c r="BJ7" s="101"/>
      <c r="BK7" s="102"/>
      <c r="BL7" s="26"/>
      <c r="BM7" s="26"/>
      <c r="BN7" s="101"/>
      <c r="BO7" s="102"/>
      <c r="BP7" s="26"/>
      <c r="BQ7" s="26"/>
      <c r="BR7" s="101"/>
      <c r="BS7" s="102"/>
      <c r="BT7" s="26"/>
      <c r="BU7" s="26"/>
      <c r="BV7" s="101"/>
      <c r="BW7" s="102"/>
      <c r="BX7" s="26"/>
      <c r="BY7" s="26"/>
      <c r="BZ7" s="101"/>
      <c r="CA7" s="102"/>
      <c r="CB7" s="26"/>
      <c r="CC7" s="26"/>
      <c r="CD7" s="101"/>
      <c r="CE7" s="102"/>
      <c r="CF7" s="26"/>
      <c r="CG7" s="102"/>
      <c r="CH7" s="101"/>
      <c r="CI7" s="102"/>
      <c r="CJ7" s="26"/>
      <c r="CK7" s="102"/>
      <c r="CL7" s="101"/>
      <c r="CM7" s="102"/>
      <c r="CN7" s="26"/>
      <c r="CO7" s="102"/>
    </row>
    <row r="8" spans="1:93" ht="18.75" customHeight="1" thickTop="1">
      <c r="A8" s="285">
        <f t="shared" si="2"/>
        <v>73</v>
      </c>
      <c r="B8" s="421">
        <v>73</v>
      </c>
      <c r="C8" s="422"/>
      <c r="D8" s="105"/>
      <c r="E8" s="100"/>
      <c r="F8" s="105"/>
      <c r="G8" s="100"/>
      <c r="H8" s="105"/>
      <c r="I8" s="100"/>
      <c r="J8" s="105"/>
      <c r="K8" s="100"/>
      <c r="L8" s="105"/>
      <c r="M8" s="105"/>
      <c r="N8" s="99"/>
      <c r="O8" s="100"/>
      <c r="P8" s="105"/>
      <c r="Q8" s="105"/>
      <c r="R8" s="99"/>
      <c r="S8" s="100"/>
      <c r="T8" s="105"/>
      <c r="U8" s="105"/>
      <c r="V8" s="99"/>
      <c r="W8" s="100"/>
      <c r="X8" s="105"/>
      <c r="Y8" s="105"/>
      <c r="Z8" s="99"/>
      <c r="AA8" s="100"/>
      <c r="AB8" s="105"/>
      <c r="AC8" s="105"/>
      <c r="AD8" s="99"/>
      <c r="AE8" s="100"/>
      <c r="AF8" s="105"/>
      <c r="AG8" s="105"/>
      <c r="AH8" s="99" t="s">
        <v>58</v>
      </c>
      <c r="AI8" s="100" t="s">
        <v>60</v>
      </c>
      <c r="AJ8" s="105" t="s">
        <v>59</v>
      </c>
      <c r="AK8" s="105" t="s">
        <v>55</v>
      </c>
      <c r="AL8" s="99" t="s">
        <v>56</v>
      </c>
      <c r="AM8" s="100" t="s">
        <v>59</v>
      </c>
      <c r="AN8" s="105" t="s">
        <v>58</v>
      </c>
      <c r="AO8" s="105" t="s">
        <v>59</v>
      </c>
      <c r="AP8" s="379"/>
      <c r="AQ8" s="380"/>
      <c r="AR8" s="105" t="s">
        <v>58</v>
      </c>
      <c r="AS8" s="105" t="s">
        <v>57</v>
      </c>
      <c r="AT8" s="99"/>
      <c r="AU8" s="100"/>
      <c r="AV8" s="105"/>
      <c r="AW8" s="105"/>
      <c r="AX8" s="99"/>
      <c r="AY8" s="100"/>
      <c r="AZ8" s="105"/>
      <c r="BA8" s="105"/>
      <c r="BB8" s="99"/>
      <c r="BC8" s="100"/>
      <c r="BD8" s="105"/>
      <c r="BE8" s="105"/>
      <c r="BF8" s="99"/>
      <c r="BG8" s="100"/>
      <c r="BH8" s="105"/>
      <c r="BI8" s="105"/>
      <c r="BJ8" s="99"/>
      <c r="BK8" s="100"/>
      <c r="BL8" s="105"/>
      <c r="BM8" s="105"/>
      <c r="BN8" s="99"/>
      <c r="BO8" s="100"/>
      <c r="BP8" s="105"/>
      <c r="BQ8" s="105"/>
      <c r="BR8" s="99"/>
      <c r="BS8" s="100"/>
      <c r="BT8" s="105"/>
      <c r="BU8" s="105"/>
      <c r="BV8" s="99"/>
      <c r="BW8" s="100"/>
      <c r="BX8" s="105"/>
      <c r="BY8" s="105"/>
      <c r="BZ8" s="99"/>
      <c r="CA8" s="100"/>
      <c r="CB8" s="105"/>
      <c r="CC8" s="105"/>
      <c r="CD8" s="99"/>
      <c r="CE8" s="100"/>
      <c r="CF8" s="105"/>
      <c r="CG8" s="100"/>
      <c r="CH8" s="152"/>
      <c r="CI8" s="100"/>
      <c r="CJ8" s="105"/>
      <c r="CK8" s="100"/>
      <c r="CL8" s="152"/>
      <c r="CM8" s="100"/>
      <c r="CN8" s="105"/>
      <c r="CO8" s="100"/>
    </row>
    <row r="9" spans="1:93" ht="18.75" customHeight="1" thickBot="1">
      <c r="A9" s="285">
        <f t="shared" si="2"/>
        <v>73</v>
      </c>
      <c r="B9" s="423"/>
      <c r="C9" s="424"/>
      <c r="D9" s="106"/>
      <c r="E9" s="104"/>
      <c r="F9" s="106"/>
      <c r="G9" s="104"/>
      <c r="H9" s="106"/>
      <c r="I9" s="104"/>
      <c r="J9" s="106"/>
      <c r="K9" s="104"/>
      <c r="L9" s="106"/>
      <c r="M9" s="106"/>
      <c r="N9" s="103"/>
      <c r="O9" s="104"/>
      <c r="P9" s="106"/>
      <c r="Q9" s="106"/>
      <c r="R9" s="103"/>
      <c r="S9" s="104"/>
      <c r="T9" s="106"/>
      <c r="U9" s="106"/>
      <c r="V9" s="103"/>
      <c r="W9" s="104"/>
      <c r="X9" s="106"/>
      <c r="Y9" s="106"/>
      <c r="Z9" s="103"/>
      <c r="AA9" s="104"/>
      <c r="AB9" s="106"/>
      <c r="AC9" s="106"/>
      <c r="AD9" s="103"/>
      <c r="AE9" s="104"/>
      <c r="AF9" s="106"/>
      <c r="AG9" s="106"/>
      <c r="AH9" s="103" t="s">
        <v>59</v>
      </c>
      <c r="AI9" s="104" t="s">
        <v>57</v>
      </c>
      <c r="AJ9" s="106" t="s">
        <v>57</v>
      </c>
      <c r="AK9" s="106" t="s">
        <v>57</v>
      </c>
      <c r="AL9" s="103" t="s">
        <v>57</v>
      </c>
      <c r="AM9" s="104" t="s">
        <v>57</v>
      </c>
      <c r="AN9" s="106" t="s">
        <v>56</v>
      </c>
      <c r="AO9" s="106" t="s">
        <v>55</v>
      </c>
      <c r="AP9" s="381"/>
      <c r="AQ9" s="382"/>
      <c r="AR9" s="106" t="s">
        <v>56</v>
      </c>
      <c r="AS9" s="106" t="s">
        <v>56</v>
      </c>
      <c r="AT9" s="103"/>
      <c r="AU9" s="104"/>
      <c r="AV9" s="106"/>
      <c r="AW9" s="106"/>
      <c r="AX9" s="103"/>
      <c r="AY9" s="104"/>
      <c r="AZ9" s="106"/>
      <c r="BA9" s="106"/>
      <c r="BB9" s="103"/>
      <c r="BC9" s="104"/>
      <c r="BD9" s="106"/>
      <c r="BE9" s="106"/>
      <c r="BF9" s="103"/>
      <c r="BG9" s="104"/>
      <c r="BH9" s="106"/>
      <c r="BI9" s="106"/>
      <c r="BJ9" s="103"/>
      <c r="BK9" s="104"/>
      <c r="BL9" s="106"/>
      <c r="BM9" s="106"/>
      <c r="BN9" s="103"/>
      <c r="BO9" s="104"/>
      <c r="BP9" s="106"/>
      <c r="BQ9" s="106"/>
      <c r="BR9" s="103"/>
      <c r="BS9" s="104"/>
      <c r="BT9" s="106"/>
      <c r="BU9" s="106"/>
      <c r="BV9" s="103"/>
      <c r="BW9" s="104"/>
      <c r="BX9" s="106"/>
      <c r="BY9" s="106"/>
      <c r="BZ9" s="103"/>
      <c r="CA9" s="104"/>
      <c r="CB9" s="106"/>
      <c r="CC9" s="106"/>
      <c r="CD9" s="103"/>
      <c r="CE9" s="104"/>
      <c r="CF9" s="106"/>
      <c r="CG9" s="104"/>
      <c r="CH9" s="103"/>
      <c r="CI9" s="104"/>
      <c r="CJ9" s="106"/>
      <c r="CK9" s="104"/>
      <c r="CL9" s="103"/>
      <c r="CM9" s="104"/>
      <c r="CN9" s="106"/>
      <c r="CO9" s="104"/>
    </row>
    <row r="10" spans="1:93" ht="18.75" customHeight="1" thickTop="1">
      <c r="A10" s="285">
        <f t="shared" si="2"/>
        <v>72</v>
      </c>
      <c r="B10" s="421">
        <v>72</v>
      </c>
      <c r="C10" s="422"/>
      <c r="D10" s="26"/>
      <c r="E10" s="102"/>
      <c r="F10" s="26"/>
      <c r="G10" s="102"/>
      <c r="H10" s="26"/>
      <c r="I10" s="102"/>
      <c r="J10" s="26"/>
      <c r="K10" s="102"/>
      <c r="L10" s="26"/>
      <c r="M10" s="26"/>
      <c r="N10" s="101"/>
      <c r="O10" s="102"/>
      <c r="P10" s="26"/>
      <c r="Q10" s="26"/>
      <c r="R10" s="101"/>
      <c r="S10" s="102"/>
      <c r="T10" s="26"/>
      <c r="U10" s="26"/>
      <c r="V10" s="101"/>
      <c r="W10" s="102"/>
      <c r="X10" s="26"/>
      <c r="Y10" s="26"/>
      <c r="Z10" s="101"/>
      <c r="AA10" s="102"/>
      <c r="AB10" s="26"/>
      <c r="AC10" s="26"/>
      <c r="AD10" s="101"/>
      <c r="AE10" s="102"/>
      <c r="AF10" s="26" t="s">
        <v>54</v>
      </c>
      <c r="AG10" s="26" t="s">
        <v>60</v>
      </c>
      <c r="AH10" s="101" t="s">
        <v>59</v>
      </c>
      <c r="AI10" s="102" t="s">
        <v>56</v>
      </c>
      <c r="AJ10" s="26" t="s">
        <v>54</v>
      </c>
      <c r="AK10" s="26" t="s">
        <v>58</v>
      </c>
      <c r="AL10" s="101" t="s">
        <v>54</v>
      </c>
      <c r="AM10" s="102" t="s">
        <v>60</v>
      </c>
      <c r="AN10" s="26" t="s">
        <v>54</v>
      </c>
      <c r="AO10" s="26" t="s">
        <v>60</v>
      </c>
      <c r="AP10" s="383" t="s">
        <v>30</v>
      </c>
      <c r="AQ10" s="384"/>
      <c r="AR10" s="26" t="s">
        <v>58</v>
      </c>
      <c r="AS10" s="26" t="s">
        <v>60</v>
      </c>
      <c r="AT10" s="101"/>
      <c r="AU10" s="102"/>
      <c r="AV10" s="26"/>
      <c r="AW10" s="26"/>
      <c r="AX10" s="101"/>
      <c r="AY10" s="102"/>
      <c r="AZ10" s="26"/>
      <c r="BA10" s="26"/>
      <c r="BB10" s="101"/>
      <c r="BC10" s="102"/>
      <c r="BD10" s="26" t="s">
        <v>54</v>
      </c>
      <c r="BE10" s="26" t="s">
        <v>55</v>
      </c>
      <c r="BF10" s="101"/>
      <c r="BG10" s="102"/>
      <c r="BH10" s="353" t="s">
        <v>89</v>
      </c>
      <c r="BI10" s="354"/>
      <c r="BJ10" s="101"/>
      <c r="BK10" s="102"/>
      <c r="BL10" s="26"/>
      <c r="BM10" s="26"/>
      <c r="BN10" s="101"/>
      <c r="BO10" s="102"/>
      <c r="BP10" s="26"/>
      <c r="BQ10" s="26"/>
      <c r="BR10" s="101"/>
      <c r="BS10" s="102"/>
      <c r="BT10" s="26"/>
      <c r="BU10" s="26"/>
      <c r="BV10" s="101"/>
      <c r="BW10" s="102"/>
      <c r="BX10" s="26"/>
      <c r="BY10" s="26"/>
      <c r="BZ10" s="101"/>
      <c r="CA10" s="102"/>
      <c r="CB10" s="26"/>
      <c r="CC10" s="26"/>
      <c r="CD10" s="101"/>
      <c r="CE10" s="102"/>
      <c r="CF10" s="26"/>
      <c r="CG10" s="102"/>
      <c r="CH10" s="101"/>
      <c r="CI10" s="102"/>
      <c r="CJ10" s="26"/>
      <c r="CK10" s="102"/>
      <c r="CL10" s="101"/>
      <c r="CM10" s="102"/>
      <c r="CN10" s="26"/>
      <c r="CO10" s="102"/>
    </row>
    <row r="11" spans="1:93" ht="18.75" customHeight="1" thickBot="1">
      <c r="A11" s="285">
        <f t="shared" si="2"/>
        <v>72</v>
      </c>
      <c r="B11" s="423"/>
      <c r="C11" s="424"/>
      <c r="D11" s="26"/>
      <c r="E11" s="102"/>
      <c r="F11" s="26"/>
      <c r="G11" s="102"/>
      <c r="H11" s="26"/>
      <c r="I11" s="102"/>
      <c r="J11" s="26"/>
      <c r="K11" s="102"/>
      <c r="L11" s="26"/>
      <c r="M11" s="26"/>
      <c r="N11" s="101"/>
      <c r="O11" s="102"/>
      <c r="P11" s="26"/>
      <c r="Q11" s="26"/>
      <c r="R11" s="101"/>
      <c r="S11" s="102"/>
      <c r="T11" s="26"/>
      <c r="U11" s="26"/>
      <c r="V11" s="101"/>
      <c r="W11" s="102"/>
      <c r="X11" s="26"/>
      <c r="Y11" s="26"/>
      <c r="Z11" s="101"/>
      <c r="AA11" s="102"/>
      <c r="AB11" s="26"/>
      <c r="AC11" s="26"/>
      <c r="AD11" s="101"/>
      <c r="AE11" s="102"/>
      <c r="AF11" s="26" t="s">
        <v>56</v>
      </c>
      <c r="AG11" s="26" t="s">
        <v>57</v>
      </c>
      <c r="AH11" s="101" t="s">
        <v>57</v>
      </c>
      <c r="AI11" s="102" t="s">
        <v>57</v>
      </c>
      <c r="AJ11" s="26" t="s">
        <v>57</v>
      </c>
      <c r="AK11" s="26" t="s">
        <v>55</v>
      </c>
      <c r="AL11" s="101" t="s">
        <v>58</v>
      </c>
      <c r="AM11" s="102" t="s">
        <v>59</v>
      </c>
      <c r="AN11" s="26" t="s">
        <v>60</v>
      </c>
      <c r="AO11" s="26" t="s">
        <v>55</v>
      </c>
      <c r="AP11" s="385"/>
      <c r="AQ11" s="386"/>
      <c r="AR11" s="26" t="s">
        <v>57</v>
      </c>
      <c r="AS11" s="26" t="s">
        <v>57</v>
      </c>
      <c r="AT11" s="101"/>
      <c r="AU11" s="102"/>
      <c r="AV11" s="26"/>
      <c r="AW11" s="26"/>
      <c r="AX11" s="101"/>
      <c r="AY11" s="102"/>
      <c r="AZ11" s="26"/>
      <c r="BA11" s="26"/>
      <c r="BB11" s="101"/>
      <c r="BC11" s="102"/>
      <c r="BD11" s="26" t="s">
        <v>59</v>
      </c>
      <c r="BE11" s="26" t="s">
        <v>59</v>
      </c>
      <c r="BF11" s="101"/>
      <c r="BG11" s="102"/>
      <c r="BH11" s="355"/>
      <c r="BI11" s="356"/>
      <c r="BJ11" s="101"/>
      <c r="BK11" s="102"/>
      <c r="BL11" s="26"/>
      <c r="BM11" s="26"/>
      <c r="BN11" s="101"/>
      <c r="BO11" s="102"/>
      <c r="BP11" s="26"/>
      <c r="BQ11" s="26"/>
      <c r="BR11" s="101"/>
      <c r="BS11" s="102"/>
      <c r="BT11" s="26"/>
      <c r="BU11" s="26"/>
      <c r="BV11" s="101"/>
      <c r="BW11" s="102"/>
      <c r="BX11" s="26"/>
      <c r="BY11" s="26"/>
      <c r="BZ11" s="101"/>
      <c r="CA11" s="102"/>
      <c r="CB11" s="26"/>
      <c r="CC11" s="26"/>
      <c r="CD11" s="101"/>
      <c r="CE11" s="102"/>
      <c r="CF11" s="26"/>
      <c r="CG11" s="102"/>
      <c r="CH11" s="101"/>
      <c r="CI11" s="102"/>
      <c r="CJ11" s="26"/>
      <c r="CK11" s="102"/>
      <c r="CL11" s="101"/>
      <c r="CM11" s="102"/>
      <c r="CN11" s="26"/>
      <c r="CO11" s="102"/>
    </row>
    <row r="12" spans="1:93" ht="18.75" customHeight="1" thickTop="1">
      <c r="A12" s="285">
        <f t="shared" si="2"/>
        <v>71</v>
      </c>
      <c r="B12" s="421">
        <v>71</v>
      </c>
      <c r="C12" s="422"/>
      <c r="D12" s="105"/>
      <c r="E12" s="100"/>
      <c r="F12" s="105"/>
      <c r="G12" s="100"/>
      <c r="H12" s="105"/>
      <c r="I12" s="100"/>
      <c r="J12" s="105"/>
      <c r="K12" s="100"/>
      <c r="L12" s="105"/>
      <c r="M12" s="105"/>
      <c r="N12" s="99"/>
      <c r="O12" s="100"/>
      <c r="P12" s="105"/>
      <c r="Q12" s="105"/>
      <c r="R12" s="99"/>
      <c r="S12" s="100"/>
      <c r="T12" s="105"/>
      <c r="U12" s="105"/>
      <c r="V12" s="99"/>
      <c r="W12" s="100"/>
      <c r="X12" s="105"/>
      <c r="Y12" s="105"/>
      <c r="Z12" s="99"/>
      <c r="AA12" s="100"/>
      <c r="AB12" s="105"/>
      <c r="AC12" s="105"/>
      <c r="AD12" s="99"/>
      <c r="AE12" s="100"/>
      <c r="AF12" s="105"/>
      <c r="AG12" s="105"/>
      <c r="AH12" s="99" t="s">
        <v>58</v>
      </c>
      <c r="AI12" s="100" t="s">
        <v>56</v>
      </c>
      <c r="AJ12" s="405" t="s">
        <v>71</v>
      </c>
      <c r="AK12" s="406"/>
      <c r="AL12" s="99" t="s">
        <v>54</v>
      </c>
      <c r="AM12" s="100" t="s">
        <v>60</v>
      </c>
      <c r="AN12" s="377"/>
      <c r="AO12" s="377"/>
      <c r="AP12" s="379"/>
      <c r="AQ12" s="380"/>
      <c r="AR12" s="105" t="s">
        <v>54</v>
      </c>
      <c r="AS12" s="105" t="s">
        <v>58</v>
      </c>
      <c r="AT12" s="377"/>
      <c r="AU12" s="377"/>
      <c r="AV12" s="387"/>
      <c r="AW12" s="388"/>
      <c r="AX12" s="99"/>
      <c r="AY12" s="100"/>
      <c r="AZ12" s="105"/>
      <c r="BA12" s="105"/>
      <c r="BB12" s="99" t="s">
        <v>54</v>
      </c>
      <c r="BC12" s="100" t="s">
        <v>60</v>
      </c>
      <c r="BD12" s="105" t="s">
        <v>57</v>
      </c>
      <c r="BE12" s="105" t="s">
        <v>57</v>
      </c>
      <c r="BF12" s="99"/>
      <c r="BG12" s="100"/>
      <c r="BH12" s="105"/>
      <c r="BI12" s="105"/>
      <c r="BJ12" s="99"/>
      <c r="BK12" s="100"/>
      <c r="BL12" s="105"/>
      <c r="BM12" s="105"/>
      <c r="BN12" s="99"/>
      <c r="BO12" s="100"/>
      <c r="BP12" s="105"/>
      <c r="BQ12" s="105"/>
      <c r="BR12" s="99"/>
      <c r="BS12" s="100"/>
      <c r="BT12" s="105"/>
      <c r="BU12" s="105"/>
      <c r="BV12" s="99"/>
      <c r="BW12" s="100"/>
      <c r="BX12" s="105"/>
      <c r="BY12" s="105"/>
      <c r="BZ12" s="99"/>
      <c r="CA12" s="100"/>
      <c r="CB12" s="105"/>
      <c r="CC12" s="105"/>
      <c r="CD12" s="99"/>
      <c r="CE12" s="100"/>
      <c r="CF12" s="105"/>
      <c r="CG12" s="100"/>
      <c r="CH12" s="152"/>
      <c r="CI12" s="100"/>
      <c r="CJ12" s="105"/>
      <c r="CK12" s="100"/>
      <c r="CL12" s="152"/>
      <c r="CM12" s="100"/>
      <c r="CN12" s="105"/>
      <c r="CO12" s="100"/>
    </row>
    <row r="13" spans="1:93" ht="18.75" customHeight="1" thickBot="1">
      <c r="A13" s="285">
        <f t="shared" si="2"/>
        <v>71</v>
      </c>
      <c r="B13" s="423"/>
      <c r="C13" s="424"/>
      <c r="D13" s="106"/>
      <c r="E13" s="104"/>
      <c r="F13" s="106"/>
      <c r="G13" s="104"/>
      <c r="H13" s="106"/>
      <c r="I13" s="104"/>
      <c r="J13" s="106"/>
      <c r="K13" s="104"/>
      <c r="L13" s="106"/>
      <c r="M13" s="106"/>
      <c r="N13" s="103"/>
      <c r="O13" s="104"/>
      <c r="P13" s="106"/>
      <c r="Q13" s="106"/>
      <c r="R13" s="103"/>
      <c r="S13" s="104"/>
      <c r="T13" s="106"/>
      <c r="U13" s="106"/>
      <c r="V13" s="103"/>
      <c r="W13" s="104"/>
      <c r="X13" s="106"/>
      <c r="Y13" s="106"/>
      <c r="Z13" s="103"/>
      <c r="AA13" s="104"/>
      <c r="AB13" s="106"/>
      <c r="AC13" s="106"/>
      <c r="AD13" s="103"/>
      <c r="AE13" s="104"/>
      <c r="AF13" s="106"/>
      <c r="AG13" s="106"/>
      <c r="AH13" s="103" t="s">
        <v>55</v>
      </c>
      <c r="AI13" s="104" t="s">
        <v>59</v>
      </c>
      <c r="AJ13" s="407"/>
      <c r="AK13" s="407"/>
      <c r="AL13" s="103" t="s">
        <v>58</v>
      </c>
      <c r="AM13" s="104" t="s">
        <v>57</v>
      </c>
      <c r="AN13" s="378"/>
      <c r="AO13" s="378"/>
      <c r="AP13" s="381"/>
      <c r="AQ13" s="382"/>
      <c r="AR13" s="106" t="s">
        <v>56</v>
      </c>
      <c r="AS13" s="106" t="s">
        <v>59</v>
      </c>
      <c r="AT13" s="378"/>
      <c r="AU13" s="378"/>
      <c r="AV13" s="389"/>
      <c r="AW13" s="390"/>
      <c r="AX13" s="103"/>
      <c r="AY13" s="104"/>
      <c r="AZ13" s="106"/>
      <c r="BA13" s="106"/>
      <c r="BB13" s="103" t="s">
        <v>59</v>
      </c>
      <c r="BC13" s="104" t="s">
        <v>55</v>
      </c>
      <c r="BD13" s="106" t="s">
        <v>55</v>
      </c>
      <c r="BE13" s="106" t="s">
        <v>56</v>
      </c>
      <c r="BF13" s="103"/>
      <c r="BG13" s="104"/>
      <c r="BH13" s="106"/>
      <c r="BI13" s="106"/>
      <c r="BJ13" s="103"/>
      <c r="BK13" s="104"/>
      <c r="BL13" s="106"/>
      <c r="BM13" s="106"/>
      <c r="BN13" s="103"/>
      <c r="BO13" s="104"/>
      <c r="BP13" s="106"/>
      <c r="BQ13" s="106"/>
      <c r="BR13" s="103"/>
      <c r="BS13" s="104"/>
      <c r="BT13" s="106"/>
      <c r="BU13" s="106"/>
      <c r="BV13" s="103"/>
      <c r="BW13" s="104"/>
      <c r="BX13" s="106"/>
      <c r="BY13" s="106"/>
      <c r="BZ13" s="103"/>
      <c r="CA13" s="104"/>
      <c r="CB13" s="106"/>
      <c r="CC13" s="106"/>
      <c r="CD13" s="103"/>
      <c r="CE13" s="104"/>
      <c r="CF13" s="106"/>
      <c r="CG13" s="104"/>
      <c r="CH13" s="103"/>
      <c r="CI13" s="104"/>
      <c r="CJ13" s="106"/>
      <c r="CK13" s="104"/>
      <c r="CL13" s="103"/>
      <c r="CM13" s="104"/>
      <c r="CN13" s="106"/>
      <c r="CO13" s="104"/>
    </row>
    <row r="14" spans="1:93" ht="18.75" customHeight="1" thickTop="1">
      <c r="A14" s="285">
        <f t="shared" si="2"/>
        <v>70</v>
      </c>
      <c r="B14" s="421">
        <v>70</v>
      </c>
      <c r="C14" s="422"/>
      <c r="D14" s="26"/>
      <c r="E14" s="102"/>
      <c r="F14" s="26"/>
      <c r="G14" s="102"/>
      <c r="H14" s="26"/>
      <c r="I14" s="102"/>
      <c r="J14" s="26"/>
      <c r="K14" s="102"/>
      <c r="L14" s="26"/>
      <c r="M14" s="26"/>
      <c r="N14" s="101"/>
      <c r="O14" s="102"/>
      <c r="P14" s="26"/>
      <c r="Q14" s="26"/>
      <c r="R14" s="101"/>
      <c r="S14" s="102"/>
      <c r="T14" s="26"/>
      <c r="U14" s="26"/>
      <c r="V14" s="101"/>
      <c r="W14" s="102"/>
      <c r="X14" s="26"/>
      <c r="Y14" s="26"/>
      <c r="Z14" s="101"/>
      <c r="AA14" s="102"/>
      <c r="AB14" s="26"/>
      <c r="AC14" s="26"/>
      <c r="AD14" s="353" t="s">
        <v>104</v>
      </c>
      <c r="AE14" s="354"/>
      <c r="AF14" s="26"/>
      <c r="AG14" s="26"/>
      <c r="AH14" s="101" t="s">
        <v>56</v>
      </c>
      <c r="AI14" s="102" t="s">
        <v>56</v>
      </c>
      <c r="AJ14" s="436" t="s">
        <v>61</v>
      </c>
      <c r="AK14" s="436"/>
      <c r="AL14" s="101" t="s">
        <v>54</v>
      </c>
      <c r="AM14" s="102" t="s">
        <v>56</v>
      </c>
      <c r="AN14" s="26" t="s">
        <v>56</v>
      </c>
      <c r="AO14" s="26" t="s">
        <v>56</v>
      </c>
      <c r="AP14" s="101" t="s">
        <v>58</v>
      </c>
      <c r="AQ14" s="102" t="s">
        <v>60</v>
      </c>
      <c r="AR14" s="26" t="s">
        <v>58</v>
      </c>
      <c r="AS14" s="26" t="s">
        <v>60</v>
      </c>
      <c r="AT14" s="101" t="s">
        <v>60</v>
      </c>
      <c r="AU14" s="102" t="s">
        <v>57</v>
      </c>
      <c r="AV14" s="391" t="s">
        <v>86</v>
      </c>
      <c r="AW14" s="392"/>
      <c r="AX14" s="101"/>
      <c r="AY14" s="102"/>
      <c r="AZ14" s="391" t="s">
        <v>85</v>
      </c>
      <c r="BA14" s="392"/>
      <c r="BB14" s="101" t="s">
        <v>60</v>
      </c>
      <c r="BC14" s="102" t="s">
        <v>56</v>
      </c>
      <c r="BD14" s="26" t="s">
        <v>56</v>
      </c>
      <c r="BE14" s="26" t="s">
        <v>57</v>
      </c>
      <c r="BF14" s="101" t="s">
        <v>54</v>
      </c>
      <c r="BG14" s="102" t="s">
        <v>59</v>
      </c>
      <c r="BH14" s="26" t="s">
        <v>60</v>
      </c>
      <c r="BI14" s="26" t="s">
        <v>59</v>
      </c>
      <c r="BJ14" s="101"/>
      <c r="BK14" s="102"/>
      <c r="BL14" s="26"/>
      <c r="BM14" s="26"/>
      <c r="BN14" s="101"/>
      <c r="BO14" s="102"/>
      <c r="BP14" s="26"/>
      <c r="BQ14" s="26"/>
      <c r="BR14" s="101"/>
      <c r="BS14" s="102"/>
      <c r="BT14" s="26"/>
      <c r="BU14" s="26"/>
      <c r="BV14" s="101"/>
      <c r="BW14" s="102"/>
      <c r="BX14" s="26"/>
      <c r="BY14" s="26"/>
      <c r="BZ14" s="101"/>
      <c r="CA14" s="102"/>
      <c r="CB14" s="26"/>
      <c r="CC14" s="26"/>
      <c r="CD14" s="101"/>
      <c r="CE14" s="102"/>
      <c r="CF14" s="26"/>
      <c r="CG14" s="102"/>
      <c r="CH14" s="101"/>
      <c r="CI14" s="102"/>
      <c r="CJ14" s="26"/>
      <c r="CK14" s="102"/>
      <c r="CL14" s="101"/>
      <c r="CM14" s="102"/>
      <c r="CN14" s="26"/>
      <c r="CO14" s="102"/>
    </row>
    <row r="15" spans="1:93" ht="18.75" customHeight="1" thickBot="1">
      <c r="A15" s="285">
        <f t="shared" si="2"/>
        <v>70</v>
      </c>
      <c r="B15" s="423"/>
      <c r="C15" s="424"/>
      <c r="D15" s="26"/>
      <c r="E15" s="102"/>
      <c r="F15" s="26"/>
      <c r="G15" s="102"/>
      <c r="H15" s="26"/>
      <c r="I15" s="102"/>
      <c r="J15" s="26"/>
      <c r="K15" s="102"/>
      <c r="L15" s="26"/>
      <c r="M15" s="26"/>
      <c r="N15" s="101"/>
      <c r="O15" s="102"/>
      <c r="P15" s="26"/>
      <c r="Q15" s="26"/>
      <c r="R15" s="101"/>
      <c r="S15" s="102"/>
      <c r="T15" s="26"/>
      <c r="U15" s="26"/>
      <c r="V15" s="101"/>
      <c r="W15" s="102"/>
      <c r="X15" s="26"/>
      <c r="Y15" s="26"/>
      <c r="Z15" s="101"/>
      <c r="AA15" s="102"/>
      <c r="AB15" s="26"/>
      <c r="AC15" s="26"/>
      <c r="AD15" s="355"/>
      <c r="AE15" s="356"/>
      <c r="AF15" s="26"/>
      <c r="AG15" s="26"/>
      <c r="AH15" s="101" t="s">
        <v>59</v>
      </c>
      <c r="AI15" s="102" t="s">
        <v>55</v>
      </c>
      <c r="AJ15" s="436"/>
      <c r="AK15" s="436"/>
      <c r="AL15" s="101" t="s">
        <v>57</v>
      </c>
      <c r="AM15" s="102" t="s">
        <v>59</v>
      </c>
      <c r="AN15" s="26" t="s">
        <v>59</v>
      </c>
      <c r="AO15" s="26" t="s">
        <v>57</v>
      </c>
      <c r="AP15" s="101" t="s">
        <v>56</v>
      </c>
      <c r="AQ15" s="102" t="s">
        <v>56</v>
      </c>
      <c r="AR15" s="26" t="s">
        <v>55</v>
      </c>
      <c r="AS15" s="26" t="s">
        <v>56</v>
      </c>
      <c r="AT15" s="101" t="s">
        <v>59</v>
      </c>
      <c r="AU15" s="102" t="s">
        <v>56</v>
      </c>
      <c r="AV15" s="393"/>
      <c r="AW15" s="393"/>
      <c r="AX15" s="101"/>
      <c r="AY15" s="102"/>
      <c r="AZ15" s="393"/>
      <c r="BA15" s="393"/>
      <c r="BB15" s="101" t="s">
        <v>59</v>
      </c>
      <c r="BC15" s="102" t="s">
        <v>59</v>
      </c>
      <c r="BD15" s="26" t="s">
        <v>55</v>
      </c>
      <c r="BE15" s="26" t="s">
        <v>55</v>
      </c>
      <c r="BF15" s="101" t="s">
        <v>57</v>
      </c>
      <c r="BG15" s="102" t="s">
        <v>57</v>
      </c>
      <c r="BH15" s="26" t="s">
        <v>55</v>
      </c>
      <c r="BI15" s="26" t="s">
        <v>57</v>
      </c>
      <c r="BJ15" s="101"/>
      <c r="BK15" s="102"/>
      <c r="BL15" s="26"/>
      <c r="BM15" s="26"/>
      <c r="BN15" s="101"/>
      <c r="BO15" s="102"/>
      <c r="BP15" s="26"/>
      <c r="BQ15" s="26"/>
      <c r="BR15" s="101"/>
      <c r="BS15" s="102"/>
      <c r="BT15" s="26"/>
      <c r="BU15" s="26"/>
      <c r="BV15" s="101"/>
      <c r="BW15" s="102"/>
      <c r="BX15" s="26"/>
      <c r="BY15" s="26"/>
      <c r="BZ15" s="101"/>
      <c r="CA15" s="102"/>
      <c r="CB15" s="26"/>
      <c r="CC15" s="26"/>
      <c r="CD15" s="101"/>
      <c r="CE15" s="102"/>
      <c r="CF15" s="26"/>
      <c r="CG15" s="102"/>
      <c r="CH15" s="101"/>
      <c r="CI15" s="102"/>
      <c r="CJ15" s="26"/>
      <c r="CK15" s="102"/>
      <c r="CL15" s="101"/>
      <c r="CM15" s="102"/>
      <c r="CN15" s="26"/>
      <c r="CO15" s="102"/>
    </row>
    <row r="16" spans="1:93" ht="18.75" customHeight="1" thickTop="1">
      <c r="A16" s="285">
        <f t="shared" si="2"/>
        <v>69</v>
      </c>
      <c r="B16" s="421">
        <v>69</v>
      </c>
      <c r="C16" s="422"/>
      <c r="D16" s="105"/>
      <c r="E16" s="100"/>
      <c r="F16" s="105"/>
      <c r="G16" s="100"/>
      <c r="H16" s="105"/>
      <c r="I16" s="100"/>
      <c r="J16" s="105"/>
      <c r="K16" s="100"/>
      <c r="L16" s="105"/>
      <c r="M16" s="105"/>
      <c r="N16" s="99"/>
      <c r="O16" s="100"/>
      <c r="P16" s="105"/>
      <c r="Q16" s="105"/>
      <c r="R16" s="99"/>
      <c r="S16" s="100"/>
      <c r="T16" s="105"/>
      <c r="U16" s="105"/>
      <c r="V16" s="99"/>
      <c r="W16" s="100"/>
      <c r="X16" s="105"/>
      <c r="Y16" s="105"/>
      <c r="Z16" s="99"/>
      <c r="AA16" s="100"/>
      <c r="AB16" s="105" t="s">
        <v>58</v>
      </c>
      <c r="AC16" s="105" t="s">
        <v>58</v>
      </c>
      <c r="AD16" s="99" t="s">
        <v>60</v>
      </c>
      <c r="AE16" s="100" t="s">
        <v>59</v>
      </c>
      <c r="AF16" s="105"/>
      <c r="AG16" s="105"/>
      <c r="AH16" s="99" t="s">
        <v>56</v>
      </c>
      <c r="AI16" s="100" t="s">
        <v>58</v>
      </c>
      <c r="AJ16" s="105" t="s">
        <v>58</v>
      </c>
      <c r="AK16" s="105" t="s">
        <v>60</v>
      </c>
      <c r="AL16" s="99" t="s">
        <v>58</v>
      </c>
      <c r="AM16" s="100" t="s">
        <v>60</v>
      </c>
      <c r="AN16" s="395" t="s">
        <v>40</v>
      </c>
      <c r="AO16" s="395"/>
      <c r="AP16" s="99" t="s">
        <v>54</v>
      </c>
      <c r="AQ16" s="100" t="s">
        <v>60</v>
      </c>
      <c r="AR16" s="105" t="s">
        <v>59</v>
      </c>
      <c r="AS16" s="105" t="s">
        <v>56</v>
      </c>
      <c r="AT16" s="99" t="s">
        <v>56</v>
      </c>
      <c r="AU16" s="100" t="s">
        <v>58</v>
      </c>
      <c r="AV16" s="105" t="s">
        <v>58</v>
      </c>
      <c r="AW16" s="105" t="s">
        <v>56</v>
      </c>
      <c r="AX16" s="99" t="s">
        <v>58</v>
      </c>
      <c r="AY16" s="100" t="s">
        <v>57</v>
      </c>
      <c r="AZ16" s="105" t="s">
        <v>58</v>
      </c>
      <c r="BA16" s="105" t="s">
        <v>58</v>
      </c>
      <c r="BB16" s="99" t="s">
        <v>54</v>
      </c>
      <c r="BC16" s="100" t="s">
        <v>58</v>
      </c>
      <c r="BD16" s="105" t="s">
        <v>54</v>
      </c>
      <c r="BE16" s="105" t="s">
        <v>55</v>
      </c>
      <c r="BF16" s="99" t="s">
        <v>56</v>
      </c>
      <c r="BG16" s="100" t="s">
        <v>55</v>
      </c>
      <c r="BH16" s="105" t="s">
        <v>54</v>
      </c>
      <c r="BI16" s="105" t="s">
        <v>59</v>
      </c>
      <c r="BJ16" s="99" t="s">
        <v>54</v>
      </c>
      <c r="BK16" s="100" t="s">
        <v>60</v>
      </c>
      <c r="BL16" s="105" t="s">
        <v>54</v>
      </c>
      <c r="BM16" s="105" t="s">
        <v>60</v>
      </c>
      <c r="BN16" s="99"/>
      <c r="BO16" s="100"/>
      <c r="BP16" s="105"/>
      <c r="BQ16" s="105"/>
      <c r="BR16" s="353" t="s">
        <v>90</v>
      </c>
      <c r="BS16" s="354"/>
      <c r="BT16" s="105"/>
      <c r="BU16" s="105"/>
      <c r="BV16" s="99"/>
      <c r="BW16" s="100"/>
      <c r="BX16" s="105"/>
      <c r="BY16" s="105"/>
      <c r="BZ16" s="99"/>
      <c r="CA16" s="100"/>
      <c r="CB16" s="105"/>
      <c r="CC16" s="105"/>
      <c r="CD16" s="99"/>
      <c r="CE16" s="100"/>
      <c r="CF16" s="105"/>
      <c r="CG16" s="100"/>
      <c r="CH16" s="152"/>
      <c r="CI16" s="100"/>
      <c r="CJ16" s="105"/>
      <c r="CK16" s="100"/>
      <c r="CL16" s="152"/>
      <c r="CM16" s="100"/>
      <c r="CN16" s="105"/>
      <c r="CO16" s="100"/>
    </row>
    <row r="17" spans="1:93" ht="18.75" customHeight="1" thickBot="1">
      <c r="A17" s="285">
        <f t="shared" si="2"/>
        <v>69</v>
      </c>
      <c r="B17" s="423"/>
      <c r="C17" s="424"/>
      <c r="D17" s="106"/>
      <c r="E17" s="104"/>
      <c r="F17" s="106"/>
      <c r="G17" s="104"/>
      <c r="H17" s="106"/>
      <c r="I17" s="104"/>
      <c r="J17" s="106"/>
      <c r="K17" s="104"/>
      <c r="L17" s="106"/>
      <c r="M17" s="106"/>
      <c r="N17" s="103"/>
      <c r="O17" s="104"/>
      <c r="P17" s="106"/>
      <c r="Q17" s="106"/>
      <c r="R17" s="103"/>
      <c r="S17" s="104"/>
      <c r="T17" s="106"/>
      <c r="U17" s="106"/>
      <c r="V17" s="103"/>
      <c r="W17" s="104"/>
      <c r="X17" s="106"/>
      <c r="Y17" s="106"/>
      <c r="Z17" s="103"/>
      <c r="AA17" s="104"/>
      <c r="AB17" s="106" t="s">
        <v>57</v>
      </c>
      <c r="AC17" s="106" t="s">
        <v>56</v>
      </c>
      <c r="AD17" s="103" t="s">
        <v>57</v>
      </c>
      <c r="AE17" s="104" t="s">
        <v>57</v>
      </c>
      <c r="AF17" s="106"/>
      <c r="AG17" s="106"/>
      <c r="AH17" s="103" t="s">
        <v>57</v>
      </c>
      <c r="AI17" s="104" t="s">
        <v>55</v>
      </c>
      <c r="AJ17" s="106" t="s">
        <v>57</v>
      </c>
      <c r="AK17" s="106" t="s">
        <v>56</v>
      </c>
      <c r="AL17" s="103" t="s">
        <v>56</v>
      </c>
      <c r="AM17" s="104" t="s">
        <v>59</v>
      </c>
      <c r="AN17" s="396"/>
      <c r="AO17" s="396"/>
      <c r="AP17" s="103" t="s">
        <v>58</v>
      </c>
      <c r="AQ17" s="104" t="s">
        <v>55</v>
      </c>
      <c r="AR17" s="106" t="s">
        <v>56</v>
      </c>
      <c r="AS17" s="106" t="s">
        <v>55</v>
      </c>
      <c r="AT17" s="103" t="s">
        <v>59</v>
      </c>
      <c r="AU17" s="104" t="s">
        <v>60</v>
      </c>
      <c r="AV17" s="106" t="s">
        <v>55</v>
      </c>
      <c r="AW17" s="106" t="s">
        <v>55</v>
      </c>
      <c r="AX17" s="103" t="s">
        <v>59</v>
      </c>
      <c r="AY17" s="104" t="s">
        <v>56</v>
      </c>
      <c r="AZ17" s="106" t="s">
        <v>57</v>
      </c>
      <c r="BA17" s="106" t="s">
        <v>59</v>
      </c>
      <c r="BB17" s="103" t="s">
        <v>55</v>
      </c>
      <c r="BC17" s="104" t="s">
        <v>55</v>
      </c>
      <c r="BD17" s="106" t="s">
        <v>57</v>
      </c>
      <c r="BE17" s="106" t="s">
        <v>59</v>
      </c>
      <c r="BF17" s="103" t="s">
        <v>60</v>
      </c>
      <c r="BG17" s="104" t="s">
        <v>60</v>
      </c>
      <c r="BH17" s="106" t="s">
        <v>55</v>
      </c>
      <c r="BI17" s="106" t="s">
        <v>55</v>
      </c>
      <c r="BJ17" s="103" t="s">
        <v>60</v>
      </c>
      <c r="BK17" s="104" t="s">
        <v>56</v>
      </c>
      <c r="BL17" s="106" t="s">
        <v>58</v>
      </c>
      <c r="BM17" s="106" t="s">
        <v>58</v>
      </c>
      <c r="BN17" s="103"/>
      <c r="BO17" s="104"/>
      <c r="BP17" s="106"/>
      <c r="BQ17" s="106"/>
      <c r="BR17" s="355"/>
      <c r="BS17" s="356"/>
      <c r="BT17" s="106"/>
      <c r="BU17" s="106"/>
      <c r="BV17" s="103"/>
      <c r="BW17" s="104"/>
      <c r="BX17" s="106"/>
      <c r="BY17" s="106"/>
      <c r="BZ17" s="103"/>
      <c r="CA17" s="104"/>
      <c r="CB17" s="106"/>
      <c r="CC17" s="106"/>
      <c r="CD17" s="103"/>
      <c r="CE17" s="104"/>
      <c r="CF17" s="106"/>
      <c r="CG17" s="104"/>
      <c r="CH17" s="103"/>
      <c r="CI17" s="104"/>
      <c r="CJ17" s="106"/>
      <c r="CK17" s="104"/>
      <c r="CL17" s="103"/>
      <c r="CM17" s="104"/>
      <c r="CN17" s="106"/>
      <c r="CO17" s="104"/>
    </row>
    <row r="18" spans="1:93" ht="18.75" customHeight="1" thickTop="1">
      <c r="A18" s="285">
        <f t="shared" si="2"/>
        <v>68</v>
      </c>
      <c r="B18" s="421">
        <v>68</v>
      </c>
      <c r="C18" s="422"/>
      <c r="D18" s="26"/>
      <c r="E18" s="102"/>
      <c r="F18" s="26"/>
      <c r="G18" s="102"/>
      <c r="H18" s="26"/>
      <c r="I18" s="102"/>
      <c r="J18" s="26"/>
      <c r="K18" s="102"/>
      <c r="L18" s="26"/>
      <c r="M18" s="26"/>
      <c r="N18" s="101"/>
      <c r="O18" s="102"/>
      <c r="P18" s="26"/>
      <c r="Q18" s="26"/>
      <c r="R18" s="101"/>
      <c r="S18" s="102"/>
      <c r="T18" s="26"/>
      <c r="U18" s="26"/>
      <c r="V18" s="101"/>
      <c r="W18" s="102"/>
      <c r="X18" s="26"/>
      <c r="Y18" s="26"/>
      <c r="Z18" s="99" t="s">
        <v>58</v>
      </c>
      <c r="AA18" s="100" t="s">
        <v>57</v>
      </c>
      <c r="AB18" s="26" t="s">
        <v>58</v>
      </c>
      <c r="AC18" s="26" t="s">
        <v>60</v>
      </c>
      <c r="AD18" s="101" t="s">
        <v>59</v>
      </c>
      <c r="AE18" s="102" t="s">
        <v>56</v>
      </c>
      <c r="AF18" s="26" t="s">
        <v>54</v>
      </c>
      <c r="AG18" s="26" t="s">
        <v>59</v>
      </c>
      <c r="AH18" s="101" t="s">
        <v>54</v>
      </c>
      <c r="AI18" s="102" t="s">
        <v>59</v>
      </c>
      <c r="AJ18" s="26" t="s">
        <v>55</v>
      </c>
      <c r="AK18" s="26" t="s">
        <v>56</v>
      </c>
      <c r="AL18" s="101" t="s">
        <v>54</v>
      </c>
      <c r="AM18" s="102" t="s">
        <v>59</v>
      </c>
      <c r="AN18" s="26" t="s">
        <v>59</v>
      </c>
      <c r="AO18" s="26" t="s">
        <v>60</v>
      </c>
      <c r="AP18" s="101" t="s">
        <v>54</v>
      </c>
      <c r="AQ18" s="102" t="s">
        <v>55</v>
      </c>
      <c r="AR18" s="397"/>
      <c r="AS18" s="397"/>
      <c r="AT18" s="101" t="s">
        <v>56</v>
      </c>
      <c r="AU18" s="102" t="s">
        <v>59</v>
      </c>
      <c r="AV18" s="26" t="s">
        <v>59</v>
      </c>
      <c r="AW18" s="26" t="s">
        <v>59</v>
      </c>
      <c r="AX18" s="101" t="s">
        <v>54</v>
      </c>
      <c r="AY18" s="102" t="s">
        <v>58</v>
      </c>
      <c r="AZ18" s="26" t="s">
        <v>54</v>
      </c>
      <c r="BA18" s="26" t="s">
        <v>56</v>
      </c>
      <c r="BB18" s="400" t="s">
        <v>3</v>
      </c>
      <c r="BC18" s="401"/>
      <c r="BD18" s="26" t="s">
        <v>55</v>
      </c>
      <c r="BE18" s="26" t="s">
        <v>55</v>
      </c>
      <c r="BF18" s="101" t="s">
        <v>54</v>
      </c>
      <c r="BG18" s="102" t="s">
        <v>55</v>
      </c>
      <c r="BH18" s="26" t="s">
        <v>54</v>
      </c>
      <c r="BI18" s="26" t="s">
        <v>55</v>
      </c>
      <c r="BJ18" s="101" t="s">
        <v>57</v>
      </c>
      <c r="BK18" s="102" t="s">
        <v>56</v>
      </c>
      <c r="BL18" s="26"/>
      <c r="BM18" s="26"/>
      <c r="BN18" s="101"/>
      <c r="BO18" s="102"/>
      <c r="BP18" s="26"/>
      <c r="BQ18" s="26"/>
      <c r="BR18" s="101"/>
      <c r="BS18" s="102"/>
      <c r="BT18" s="26"/>
      <c r="BU18" s="26"/>
      <c r="BV18" s="101"/>
      <c r="BW18" s="102"/>
      <c r="BX18" s="26"/>
      <c r="BY18" s="26"/>
      <c r="BZ18" s="101"/>
      <c r="CA18" s="102"/>
      <c r="CB18" s="26"/>
      <c r="CC18" s="26"/>
      <c r="CD18" s="101"/>
      <c r="CE18" s="102"/>
      <c r="CF18" s="26"/>
      <c r="CG18" s="102"/>
      <c r="CH18" s="101"/>
      <c r="CI18" s="102"/>
      <c r="CJ18" s="26"/>
      <c r="CK18" s="102"/>
      <c r="CL18" s="101"/>
      <c r="CM18" s="102"/>
      <c r="CN18" s="26"/>
      <c r="CO18" s="102"/>
    </row>
    <row r="19" spans="1:93" ht="18.75" customHeight="1" thickBot="1">
      <c r="A19" s="285">
        <f t="shared" si="2"/>
        <v>68</v>
      </c>
      <c r="B19" s="423"/>
      <c r="C19" s="424"/>
      <c r="D19" s="26"/>
      <c r="E19" s="102"/>
      <c r="F19" s="26"/>
      <c r="G19" s="102"/>
      <c r="H19" s="26"/>
      <c r="I19" s="102"/>
      <c r="J19" s="26"/>
      <c r="K19" s="102"/>
      <c r="L19" s="26"/>
      <c r="M19" s="26"/>
      <c r="N19" s="101"/>
      <c r="O19" s="102"/>
      <c r="P19" s="26"/>
      <c r="Q19" s="26"/>
      <c r="R19" s="101"/>
      <c r="S19" s="102"/>
      <c r="T19" s="26"/>
      <c r="U19" s="26"/>
      <c r="V19" s="101"/>
      <c r="W19" s="102"/>
      <c r="X19" s="26"/>
      <c r="Y19" s="26"/>
      <c r="Z19" s="103" t="s">
        <v>56</v>
      </c>
      <c r="AA19" s="104" t="s">
        <v>59</v>
      </c>
      <c r="AB19" s="26" t="s">
        <v>57</v>
      </c>
      <c r="AC19" s="26" t="s">
        <v>55</v>
      </c>
      <c r="AD19" s="101" t="s">
        <v>55</v>
      </c>
      <c r="AE19" s="102" t="s">
        <v>57</v>
      </c>
      <c r="AF19" s="26" t="s">
        <v>60</v>
      </c>
      <c r="AG19" s="26" t="s">
        <v>58</v>
      </c>
      <c r="AH19" s="101" t="s">
        <v>58</v>
      </c>
      <c r="AI19" s="102" t="s">
        <v>60</v>
      </c>
      <c r="AJ19" s="26" t="s">
        <v>57</v>
      </c>
      <c r="AK19" s="26" t="s">
        <v>57</v>
      </c>
      <c r="AL19" s="101" t="s">
        <v>58</v>
      </c>
      <c r="AM19" s="102" t="s">
        <v>60</v>
      </c>
      <c r="AN19" s="26" t="s">
        <v>58</v>
      </c>
      <c r="AO19" s="26" t="s">
        <v>58</v>
      </c>
      <c r="AP19" s="101" t="s">
        <v>57</v>
      </c>
      <c r="AQ19" s="102" t="s">
        <v>59</v>
      </c>
      <c r="AR19" s="397"/>
      <c r="AS19" s="397"/>
      <c r="AT19" s="101" t="s">
        <v>57</v>
      </c>
      <c r="AU19" s="102" t="s">
        <v>58</v>
      </c>
      <c r="AV19" s="26" t="s">
        <v>56</v>
      </c>
      <c r="AW19" s="26" t="s">
        <v>55</v>
      </c>
      <c r="AX19" s="101" t="s">
        <v>59</v>
      </c>
      <c r="AY19" s="102" t="s">
        <v>55</v>
      </c>
      <c r="AZ19" s="26" t="s">
        <v>55</v>
      </c>
      <c r="BA19" s="26" t="s">
        <v>55</v>
      </c>
      <c r="BB19" s="400"/>
      <c r="BC19" s="401"/>
      <c r="BD19" s="26" t="s">
        <v>56</v>
      </c>
      <c r="BE19" s="26" t="s">
        <v>60</v>
      </c>
      <c r="BF19" s="101" t="s">
        <v>59</v>
      </c>
      <c r="BG19" s="102" t="s">
        <v>57</v>
      </c>
      <c r="BH19" s="26" t="s">
        <v>58</v>
      </c>
      <c r="BI19" s="26" t="s">
        <v>60</v>
      </c>
      <c r="BJ19" s="101" t="s">
        <v>60</v>
      </c>
      <c r="BK19" s="102" t="s">
        <v>59</v>
      </c>
      <c r="BL19" s="26"/>
      <c r="BM19" s="26"/>
      <c r="BN19" s="101"/>
      <c r="BO19" s="102"/>
      <c r="BP19" s="26"/>
      <c r="BQ19" s="26"/>
      <c r="BR19" s="101"/>
      <c r="BS19" s="102"/>
      <c r="BT19" s="26"/>
      <c r="BU19" s="26"/>
      <c r="BV19" s="101"/>
      <c r="BW19" s="102"/>
      <c r="BX19" s="26"/>
      <c r="BY19" s="26"/>
      <c r="BZ19" s="101"/>
      <c r="CA19" s="102"/>
      <c r="CB19" s="26"/>
      <c r="CC19" s="26"/>
      <c r="CD19" s="101"/>
      <c r="CE19" s="102"/>
      <c r="CF19" s="26"/>
      <c r="CG19" s="102"/>
      <c r="CH19" s="101"/>
      <c r="CI19" s="102"/>
      <c r="CJ19" s="26"/>
      <c r="CK19" s="102"/>
      <c r="CL19" s="101"/>
      <c r="CM19" s="102"/>
      <c r="CN19" s="26"/>
      <c r="CO19" s="102"/>
    </row>
    <row r="20" spans="1:93" ht="18.75" customHeight="1" thickTop="1">
      <c r="A20" s="285">
        <f t="shared" si="2"/>
        <v>67</v>
      </c>
      <c r="B20" s="421">
        <v>67</v>
      </c>
      <c r="C20" s="422"/>
      <c r="D20" s="105"/>
      <c r="E20" s="100"/>
      <c r="F20" s="105"/>
      <c r="G20" s="100"/>
      <c r="H20" s="105"/>
      <c r="I20" s="100"/>
      <c r="J20" s="105"/>
      <c r="K20" s="100"/>
      <c r="L20" s="105" t="s">
        <v>54</v>
      </c>
      <c r="M20" s="105" t="s">
        <v>60</v>
      </c>
      <c r="N20" s="379"/>
      <c r="O20" s="380"/>
      <c r="P20" s="105"/>
      <c r="Q20" s="105"/>
      <c r="R20" s="99"/>
      <c r="S20" s="100"/>
      <c r="T20" s="105"/>
      <c r="U20" s="105"/>
      <c r="V20" s="99"/>
      <c r="W20" s="100"/>
      <c r="X20" s="105"/>
      <c r="Y20" s="105"/>
      <c r="Z20" s="99" t="s">
        <v>58</v>
      </c>
      <c r="AA20" s="100" t="s">
        <v>60</v>
      </c>
      <c r="AB20" s="405" t="s">
        <v>36</v>
      </c>
      <c r="AC20" s="406"/>
      <c r="AD20" s="99" t="s">
        <v>54</v>
      </c>
      <c r="AE20" s="100" t="s">
        <v>60</v>
      </c>
      <c r="AF20" s="105" t="s">
        <v>59</v>
      </c>
      <c r="AG20" s="105" t="s">
        <v>59</v>
      </c>
      <c r="AH20" s="99" t="s">
        <v>54</v>
      </c>
      <c r="AI20" s="100" t="s">
        <v>59</v>
      </c>
      <c r="AJ20" s="105" t="s">
        <v>58</v>
      </c>
      <c r="AK20" s="105" t="s">
        <v>58</v>
      </c>
      <c r="AL20" s="363" t="s">
        <v>39</v>
      </c>
      <c r="AM20" s="367"/>
      <c r="AN20" s="105" t="s">
        <v>59</v>
      </c>
      <c r="AO20" s="105" t="s">
        <v>55</v>
      </c>
      <c r="AP20" s="99" t="s">
        <v>54</v>
      </c>
      <c r="AQ20" s="100" t="s">
        <v>60</v>
      </c>
      <c r="AR20" s="105" t="s">
        <v>54</v>
      </c>
      <c r="AS20" s="105" t="s">
        <v>55</v>
      </c>
      <c r="AT20" s="363" t="s">
        <v>50</v>
      </c>
      <c r="AU20" s="367"/>
      <c r="AV20" s="99" t="s">
        <v>58</v>
      </c>
      <c r="AW20" s="100" t="s">
        <v>58</v>
      </c>
      <c r="AX20" s="99" t="s">
        <v>58</v>
      </c>
      <c r="AY20" s="100" t="s">
        <v>60</v>
      </c>
      <c r="AZ20" s="105" t="s">
        <v>58</v>
      </c>
      <c r="BA20" s="105" t="s">
        <v>60</v>
      </c>
      <c r="BB20" s="99" t="s">
        <v>58</v>
      </c>
      <c r="BC20" s="100" t="s">
        <v>59</v>
      </c>
      <c r="BD20" s="105" t="s">
        <v>57</v>
      </c>
      <c r="BE20" s="105" t="s">
        <v>59</v>
      </c>
      <c r="BF20" s="99" t="s">
        <v>58</v>
      </c>
      <c r="BG20" s="100" t="s">
        <v>55</v>
      </c>
      <c r="BH20" s="105"/>
      <c r="BI20" s="105"/>
      <c r="BJ20" s="99"/>
      <c r="BK20" s="100"/>
      <c r="BL20" s="105"/>
      <c r="BM20" s="105"/>
      <c r="BN20" s="353" t="s">
        <v>88</v>
      </c>
      <c r="BO20" s="354"/>
      <c r="BP20" s="105"/>
      <c r="BQ20" s="105"/>
      <c r="BR20" s="99" t="s">
        <v>60</v>
      </c>
      <c r="BS20" s="100" t="s">
        <v>56</v>
      </c>
      <c r="BT20" s="105" t="s">
        <v>54</v>
      </c>
      <c r="BU20" s="105" t="s">
        <v>58</v>
      </c>
      <c r="BV20" s="99" t="s">
        <v>58</v>
      </c>
      <c r="BW20" s="100" t="s">
        <v>60</v>
      </c>
      <c r="BX20" s="105"/>
      <c r="BY20" s="105"/>
      <c r="BZ20" s="99"/>
      <c r="CA20" s="100"/>
      <c r="CB20" s="105"/>
      <c r="CC20" s="105"/>
      <c r="CD20" s="99"/>
      <c r="CE20" s="100"/>
      <c r="CF20" s="105"/>
      <c r="CG20" s="100"/>
      <c r="CH20" s="152"/>
      <c r="CI20" s="100"/>
      <c r="CJ20" s="105"/>
      <c r="CK20" s="100"/>
      <c r="CL20" s="152"/>
      <c r="CM20" s="100"/>
      <c r="CN20" s="105"/>
      <c r="CO20" s="100"/>
    </row>
    <row r="21" spans="1:93" ht="18.75" customHeight="1" thickBot="1">
      <c r="A21" s="285">
        <f t="shared" si="2"/>
        <v>67</v>
      </c>
      <c r="B21" s="423"/>
      <c r="C21" s="424"/>
      <c r="D21" s="106"/>
      <c r="E21" s="104"/>
      <c r="F21" s="106"/>
      <c r="G21" s="104"/>
      <c r="H21" s="106"/>
      <c r="I21" s="104"/>
      <c r="J21" s="106"/>
      <c r="K21" s="104"/>
      <c r="L21" s="106" t="s">
        <v>55</v>
      </c>
      <c r="M21" s="106" t="s">
        <v>56</v>
      </c>
      <c r="N21" s="381"/>
      <c r="O21" s="382"/>
      <c r="P21" s="106"/>
      <c r="Q21" s="106"/>
      <c r="R21" s="103"/>
      <c r="S21" s="104"/>
      <c r="T21" s="106"/>
      <c r="U21" s="106"/>
      <c r="V21" s="103"/>
      <c r="W21" s="104"/>
      <c r="X21" s="106"/>
      <c r="Y21" s="106"/>
      <c r="Z21" s="103" t="s">
        <v>59</v>
      </c>
      <c r="AA21" s="104" t="s">
        <v>55</v>
      </c>
      <c r="AB21" s="414"/>
      <c r="AC21" s="414"/>
      <c r="AD21" s="103" t="s">
        <v>55</v>
      </c>
      <c r="AE21" s="104" t="s">
        <v>60</v>
      </c>
      <c r="AF21" s="106" t="s">
        <v>57</v>
      </c>
      <c r="AG21" s="106" t="s">
        <v>54</v>
      </c>
      <c r="AH21" s="103" t="s">
        <v>55</v>
      </c>
      <c r="AI21" s="104" t="s">
        <v>57</v>
      </c>
      <c r="AJ21" s="106" t="s">
        <v>56</v>
      </c>
      <c r="AK21" s="106" t="s">
        <v>57</v>
      </c>
      <c r="AL21" s="368"/>
      <c r="AM21" s="369"/>
      <c r="AN21" s="106" t="s">
        <v>57</v>
      </c>
      <c r="AO21" s="106" t="s">
        <v>58</v>
      </c>
      <c r="AP21" s="103" t="s">
        <v>60</v>
      </c>
      <c r="AQ21" s="104" t="s">
        <v>57</v>
      </c>
      <c r="AR21" s="106" t="s">
        <v>55</v>
      </c>
      <c r="AS21" s="106" t="s">
        <v>57</v>
      </c>
      <c r="AT21" s="368"/>
      <c r="AU21" s="369"/>
      <c r="AV21" s="103" t="s">
        <v>55</v>
      </c>
      <c r="AW21" s="104" t="s">
        <v>59</v>
      </c>
      <c r="AX21" s="103" t="s">
        <v>56</v>
      </c>
      <c r="AY21" s="104" t="s">
        <v>59</v>
      </c>
      <c r="AZ21" s="106" t="s">
        <v>56</v>
      </c>
      <c r="BA21" s="106" t="s">
        <v>55</v>
      </c>
      <c r="BB21" s="103" t="s">
        <v>57</v>
      </c>
      <c r="BC21" s="104" t="s">
        <v>57</v>
      </c>
      <c r="BD21" s="106" t="s">
        <v>58</v>
      </c>
      <c r="BE21" s="106" t="s">
        <v>55</v>
      </c>
      <c r="BF21" s="103" t="s">
        <v>56</v>
      </c>
      <c r="BG21" s="104" t="s">
        <v>59</v>
      </c>
      <c r="BH21" s="106"/>
      <c r="BI21" s="106"/>
      <c r="BJ21" s="103"/>
      <c r="BK21" s="104"/>
      <c r="BL21" s="106"/>
      <c r="BM21" s="106"/>
      <c r="BN21" s="355"/>
      <c r="BO21" s="356"/>
      <c r="BP21" s="106"/>
      <c r="BQ21" s="106"/>
      <c r="BR21" s="103" t="s">
        <v>55</v>
      </c>
      <c r="BS21" s="104" t="s">
        <v>55</v>
      </c>
      <c r="BT21" s="106" t="s">
        <v>60</v>
      </c>
      <c r="BU21" s="106" t="s">
        <v>59</v>
      </c>
      <c r="BV21" s="103" t="s">
        <v>59</v>
      </c>
      <c r="BW21" s="104" t="s">
        <v>57</v>
      </c>
      <c r="BX21" s="106"/>
      <c r="BY21" s="106"/>
      <c r="BZ21" s="103"/>
      <c r="CA21" s="104"/>
      <c r="CB21" s="106"/>
      <c r="CC21" s="106"/>
      <c r="CD21" s="103"/>
      <c r="CE21" s="104"/>
      <c r="CF21" s="106"/>
      <c r="CG21" s="104"/>
      <c r="CH21" s="103"/>
      <c r="CI21" s="104"/>
      <c r="CJ21" s="106"/>
      <c r="CK21" s="104"/>
      <c r="CL21" s="103"/>
      <c r="CM21" s="104"/>
      <c r="CN21" s="106"/>
      <c r="CO21" s="104"/>
    </row>
    <row r="22" spans="1:93" ht="18.75" customHeight="1" thickTop="1">
      <c r="A22" s="285">
        <f t="shared" si="2"/>
        <v>66</v>
      </c>
      <c r="B22" s="421">
        <v>66</v>
      </c>
      <c r="C22" s="422"/>
      <c r="D22" s="26"/>
      <c r="E22" s="102"/>
      <c r="F22" s="26"/>
      <c r="G22" s="102"/>
      <c r="H22" s="26"/>
      <c r="I22" s="102"/>
      <c r="J22" s="26"/>
      <c r="K22" s="102"/>
      <c r="L22" s="26" t="s">
        <v>54</v>
      </c>
      <c r="M22" s="26" t="s">
        <v>55</v>
      </c>
      <c r="N22" s="101" t="s">
        <v>60</v>
      </c>
      <c r="O22" s="102" t="s">
        <v>57</v>
      </c>
      <c r="P22" s="26" t="s">
        <v>60</v>
      </c>
      <c r="Q22" s="26" t="s">
        <v>57</v>
      </c>
      <c r="R22" s="101"/>
      <c r="S22" s="102"/>
      <c r="T22" s="26"/>
      <c r="U22" s="26"/>
      <c r="V22" s="101"/>
      <c r="W22" s="102"/>
      <c r="X22" s="26"/>
      <c r="Y22" s="26"/>
      <c r="Z22" s="101" t="s">
        <v>58</v>
      </c>
      <c r="AA22" s="26" t="s">
        <v>57</v>
      </c>
      <c r="AB22" s="363" t="s">
        <v>72</v>
      </c>
      <c r="AC22" s="364"/>
      <c r="AD22" s="101" t="s">
        <v>58</v>
      </c>
      <c r="AE22" s="102" t="s">
        <v>58</v>
      </c>
      <c r="AF22" s="413" t="s">
        <v>31</v>
      </c>
      <c r="AG22" s="414"/>
      <c r="AH22" s="101" t="s">
        <v>59</v>
      </c>
      <c r="AI22" s="102" t="s">
        <v>58</v>
      </c>
      <c r="AJ22" s="26" t="s">
        <v>56</v>
      </c>
      <c r="AK22" s="26" t="s">
        <v>59</v>
      </c>
      <c r="AL22" s="101" t="s">
        <v>58</v>
      </c>
      <c r="AM22" s="102" t="s">
        <v>58</v>
      </c>
      <c r="AN22" s="26" t="s">
        <v>58</v>
      </c>
      <c r="AO22" s="26" t="s">
        <v>58</v>
      </c>
      <c r="AP22" s="101" t="s">
        <v>55</v>
      </c>
      <c r="AQ22" s="102" t="s">
        <v>57</v>
      </c>
      <c r="AR22" s="26" t="s">
        <v>59</v>
      </c>
      <c r="AS22" s="26" t="s">
        <v>59</v>
      </c>
      <c r="AT22" s="101" t="s">
        <v>55</v>
      </c>
      <c r="AU22" s="102" t="s">
        <v>55</v>
      </c>
      <c r="AV22" s="402" t="s">
        <v>43</v>
      </c>
      <c r="AW22" s="402"/>
      <c r="AX22" s="101" t="s">
        <v>55</v>
      </c>
      <c r="AY22" s="102" t="s">
        <v>57</v>
      </c>
      <c r="AZ22" s="26" t="s">
        <v>54</v>
      </c>
      <c r="BA22" s="26" t="s">
        <v>57</v>
      </c>
      <c r="BB22" s="400" t="s">
        <v>17</v>
      </c>
      <c r="BC22" s="401"/>
      <c r="BD22" s="26" t="s">
        <v>60</v>
      </c>
      <c r="BE22" s="26" t="s">
        <v>60</v>
      </c>
      <c r="BF22" s="101" t="s">
        <v>58</v>
      </c>
      <c r="BG22" s="102" t="s">
        <v>55</v>
      </c>
      <c r="BH22" s="26"/>
      <c r="BI22" s="26"/>
      <c r="BJ22" s="101"/>
      <c r="BK22" s="102"/>
      <c r="BL22" s="428" t="s">
        <v>87</v>
      </c>
      <c r="BM22" s="429"/>
      <c r="BN22" s="101"/>
      <c r="BO22" s="102"/>
      <c r="BP22" s="26"/>
      <c r="BQ22" s="26"/>
      <c r="BR22" s="101" t="s">
        <v>60</v>
      </c>
      <c r="BS22" s="102" t="s">
        <v>55</v>
      </c>
      <c r="BT22" s="26" t="s">
        <v>58</v>
      </c>
      <c r="BU22" s="26" t="s">
        <v>60</v>
      </c>
      <c r="BV22" s="387"/>
      <c r="BW22" s="388"/>
      <c r="BX22" s="26" t="s">
        <v>54</v>
      </c>
      <c r="BY22" s="26" t="s">
        <v>60</v>
      </c>
      <c r="BZ22" s="101" t="s">
        <v>58</v>
      </c>
      <c r="CA22" s="102" t="s">
        <v>60</v>
      </c>
      <c r="CB22" s="26"/>
      <c r="CC22" s="26"/>
      <c r="CD22" s="101"/>
      <c r="CE22" s="102"/>
      <c r="CF22" s="26"/>
      <c r="CG22" s="102"/>
      <c r="CH22" s="101"/>
      <c r="CI22" s="102"/>
      <c r="CJ22" s="26"/>
      <c r="CK22" s="102"/>
      <c r="CL22" s="101"/>
      <c r="CM22" s="102"/>
      <c r="CN22" s="26"/>
      <c r="CO22" s="102"/>
    </row>
    <row r="23" spans="1:93" ht="18.75" customHeight="1" thickBot="1">
      <c r="A23" s="285">
        <f t="shared" si="2"/>
        <v>66</v>
      </c>
      <c r="B23" s="423"/>
      <c r="C23" s="424"/>
      <c r="D23" s="26"/>
      <c r="E23" s="102"/>
      <c r="F23" s="26"/>
      <c r="G23" s="102"/>
      <c r="H23" s="26"/>
      <c r="I23" s="102"/>
      <c r="J23" s="26"/>
      <c r="K23" s="102"/>
      <c r="L23" s="26" t="s">
        <v>57</v>
      </c>
      <c r="M23" s="26" t="s">
        <v>57</v>
      </c>
      <c r="N23" s="101" t="s">
        <v>59</v>
      </c>
      <c r="O23" s="102" t="s">
        <v>56</v>
      </c>
      <c r="P23" s="26" t="s">
        <v>56</v>
      </c>
      <c r="Q23" s="26" t="s">
        <v>55</v>
      </c>
      <c r="R23" s="101"/>
      <c r="S23" s="102"/>
      <c r="T23" s="26"/>
      <c r="U23" s="26"/>
      <c r="V23" s="101"/>
      <c r="W23" s="102"/>
      <c r="X23" s="26"/>
      <c r="Y23" s="26"/>
      <c r="Z23" s="101" t="s">
        <v>59</v>
      </c>
      <c r="AA23" s="26" t="s">
        <v>55</v>
      </c>
      <c r="AB23" s="365"/>
      <c r="AC23" s="366"/>
      <c r="AD23" s="101" t="s">
        <v>59</v>
      </c>
      <c r="AE23" s="102" t="s">
        <v>56</v>
      </c>
      <c r="AF23" s="414"/>
      <c r="AG23" s="414"/>
      <c r="AH23" s="101" t="s">
        <v>56</v>
      </c>
      <c r="AI23" s="102" t="s">
        <v>60</v>
      </c>
      <c r="AJ23" s="26" t="s">
        <v>60</v>
      </c>
      <c r="AK23" s="26" t="s">
        <v>57</v>
      </c>
      <c r="AL23" s="101" t="s">
        <v>54</v>
      </c>
      <c r="AM23" s="102" t="s">
        <v>55</v>
      </c>
      <c r="AN23" s="26" t="s">
        <v>54</v>
      </c>
      <c r="AO23" s="26" t="s">
        <v>55</v>
      </c>
      <c r="AP23" s="101" t="s">
        <v>60</v>
      </c>
      <c r="AQ23" s="102" t="s">
        <v>60</v>
      </c>
      <c r="AR23" s="26" t="s">
        <v>55</v>
      </c>
      <c r="AS23" s="26" t="s">
        <v>57</v>
      </c>
      <c r="AT23" s="101" t="s">
        <v>56</v>
      </c>
      <c r="AU23" s="102" t="s">
        <v>60</v>
      </c>
      <c r="AV23" s="402"/>
      <c r="AW23" s="402"/>
      <c r="AX23" s="101" t="s">
        <v>60</v>
      </c>
      <c r="AY23" s="102" t="s">
        <v>59</v>
      </c>
      <c r="AZ23" s="26" t="s">
        <v>58</v>
      </c>
      <c r="BA23" s="26" t="s">
        <v>60</v>
      </c>
      <c r="BB23" s="400"/>
      <c r="BC23" s="401"/>
      <c r="BD23" s="26" t="s">
        <v>55</v>
      </c>
      <c r="BE23" s="26" t="s">
        <v>56</v>
      </c>
      <c r="BF23" s="101" t="s">
        <v>59</v>
      </c>
      <c r="BG23" s="102" t="s">
        <v>54</v>
      </c>
      <c r="BH23" s="26"/>
      <c r="BI23" s="26"/>
      <c r="BJ23" s="101"/>
      <c r="BK23" s="102"/>
      <c r="BL23" s="430"/>
      <c r="BM23" s="431"/>
      <c r="BN23" s="101"/>
      <c r="BO23" s="102"/>
      <c r="BP23" s="26"/>
      <c r="BQ23" s="26"/>
      <c r="BR23" s="101" t="s">
        <v>56</v>
      </c>
      <c r="BS23" s="102" t="s">
        <v>56</v>
      </c>
      <c r="BT23" s="26" t="s">
        <v>57</v>
      </c>
      <c r="BU23" s="26" t="s">
        <v>56</v>
      </c>
      <c r="BV23" s="389"/>
      <c r="BW23" s="390"/>
      <c r="BX23" s="26" t="s">
        <v>59</v>
      </c>
      <c r="BY23" s="26" t="s">
        <v>57</v>
      </c>
      <c r="BZ23" s="101" t="s">
        <v>59</v>
      </c>
      <c r="CA23" s="102" t="s">
        <v>56</v>
      </c>
      <c r="CB23" s="26"/>
      <c r="CC23" s="26"/>
      <c r="CD23" s="101"/>
      <c r="CE23" s="102"/>
      <c r="CF23" s="26"/>
      <c r="CG23" s="102"/>
      <c r="CH23" s="101"/>
      <c r="CI23" s="102"/>
      <c r="CJ23" s="26"/>
      <c r="CK23" s="102"/>
      <c r="CL23" s="101"/>
      <c r="CM23" s="102"/>
      <c r="CN23" s="26"/>
      <c r="CO23" s="102"/>
    </row>
    <row r="24" spans="1:93" ht="18.75" customHeight="1" thickTop="1">
      <c r="A24" s="285">
        <f t="shared" si="2"/>
        <v>65</v>
      </c>
      <c r="B24" s="421">
        <v>65</v>
      </c>
      <c r="C24" s="422"/>
      <c r="D24" s="105"/>
      <c r="E24" s="100"/>
      <c r="F24" s="105"/>
      <c r="G24" s="100"/>
      <c r="H24" s="105"/>
      <c r="I24" s="100"/>
      <c r="J24" s="105"/>
      <c r="K24" s="100"/>
      <c r="L24" s="105" t="s">
        <v>60</v>
      </c>
      <c r="M24" s="105" t="s">
        <v>59</v>
      </c>
      <c r="N24" s="363" t="s">
        <v>125</v>
      </c>
      <c r="O24" s="364"/>
      <c r="P24" s="105" t="s">
        <v>60</v>
      </c>
      <c r="Q24" s="105" t="s">
        <v>55</v>
      </c>
      <c r="R24" s="99" t="s">
        <v>58</v>
      </c>
      <c r="S24" s="100" t="s">
        <v>55</v>
      </c>
      <c r="T24" s="377"/>
      <c r="U24" s="377"/>
      <c r="V24" s="99" t="s">
        <v>60</v>
      </c>
      <c r="W24" s="100" t="s">
        <v>55</v>
      </c>
      <c r="X24" s="105" t="s">
        <v>58</v>
      </c>
      <c r="Y24" s="105" t="s">
        <v>60</v>
      </c>
      <c r="Z24" s="363" t="s">
        <v>35</v>
      </c>
      <c r="AA24" s="367"/>
      <c r="AB24" s="105" t="s">
        <v>56</v>
      </c>
      <c r="AC24" s="105" t="s">
        <v>55</v>
      </c>
      <c r="AD24" s="99" t="s">
        <v>58</v>
      </c>
      <c r="AE24" s="100" t="s">
        <v>60</v>
      </c>
      <c r="AF24" s="105" t="s">
        <v>56</v>
      </c>
      <c r="AG24" s="105" t="s">
        <v>59</v>
      </c>
      <c r="AH24" s="99" t="s">
        <v>54</v>
      </c>
      <c r="AI24" s="100" t="s">
        <v>60</v>
      </c>
      <c r="AJ24" s="105" t="s">
        <v>55</v>
      </c>
      <c r="AK24" s="105" t="s">
        <v>55</v>
      </c>
      <c r="AL24" s="99" t="s">
        <v>56</v>
      </c>
      <c r="AM24" s="100" t="s">
        <v>56</v>
      </c>
      <c r="AN24" s="105" t="s">
        <v>60</v>
      </c>
      <c r="AO24" s="105" t="s">
        <v>58</v>
      </c>
      <c r="AP24" s="99" t="s">
        <v>56</v>
      </c>
      <c r="AQ24" s="100" t="s">
        <v>56</v>
      </c>
      <c r="AR24" s="405" t="s">
        <v>47</v>
      </c>
      <c r="AS24" s="406"/>
      <c r="AT24" s="99" t="s">
        <v>54</v>
      </c>
      <c r="AU24" s="100" t="s">
        <v>55</v>
      </c>
      <c r="AV24" s="403" t="s">
        <v>2</v>
      </c>
      <c r="AW24" s="403"/>
      <c r="AX24" s="99" t="s">
        <v>57</v>
      </c>
      <c r="AY24" s="100" t="s">
        <v>58</v>
      </c>
      <c r="AZ24" s="105" t="s">
        <v>54</v>
      </c>
      <c r="BA24" s="105" t="s">
        <v>58</v>
      </c>
      <c r="BB24" s="99" t="s">
        <v>60</v>
      </c>
      <c r="BC24" s="100" t="s">
        <v>59</v>
      </c>
      <c r="BD24" s="398" t="s">
        <v>12</v>
      </c>
      <c r="BE24" s="398"/>
      <c r="BF24" s="99" t="s">
        <v>60</v>
      </c>
      <c r="BG24" s="100" t="s">
        <v>54</v>
      </c>
      <c r="BH24" s="105" t="s">
        <v>54</v>
      </c>
      <c r="BI24" s="105" t="s">
        <v>60</v>
      </c>
      <c r="BJ24" s="99" t="s">
        <v>54</v>
      </c>
      <c r="BK24" s="100" t="s">
        <v>58</v>
      </c>
      <c r="BL24" s="105" t="s">
        <v>58</v>
      </c>
      <c r="BM24" s="105" t="s">
        <v>60</v>
      </c>
      <c r="BN24" s="99"/>
      <c r="BO24" s="100"/>
      <c r="BP24" s="105"/>
      <c r="BQ24" s="105"/>
      <c r="BR24" s="99" t="s">
        <v>54</v>
      </c>
      <c r="BS24" s="100" t="s">
        <v>58</v>
      </c>
      <c r="BT24" s="383" t="s">
        <v>24</v>
      </c>
      <c r="BU24" s="384"/>
      <c r="BV24" s="99" t="s">
        <v>54</v>
      </c>
      <c r="BW24" s="100" t="s">
        <v>60</v>
      </c>
      <c r="BX24" s="105" t="s">
        <v>60</v>
      </c>
      <c r="BY24" s="105" t="s">
        <v>56</v>
      </c>
      <c r="BZ24" s="99" t="s">
        <v>54</v>
      </c>
      <c r="CA24" s="100" t="s">
        <v>55</v>
      </c>
      <c r="CB24" s="105"/>
      <c r="CC24" s="105"/>
      <c r="CD24" s="99"/>
      <c r="CE24" s="100"/>
      <c r="CF24" s="105"/>
      <c r="CG24" s="100"/>
      <c r="CH24" s="152"/>
      <c r="CI24" s="100"/>
      <c r="CJ24" s="105"/>
      <c r="CK24" s="100"/>
      <c r="CL24" s="152"/>
      <c r="CM24" s="100"/>
      <c r="CN24" s="105"/>
      <c r="CO24" s="100"/>
    </row>
    <row r="25" spans="1:93" ht="18.75" customHeight="1" thickBot="1">
      <c r="A25" s="285">
        <f t="shared" si="2"/>
        <v>65</v>
      </c>
      <c r="B25" s="423"/>
      <c r="C25" s="424"/>
      <c r="D25" s="106"/>
      <c r="E25" s="104"/>
      <c r="F25" s="106"/>
      <c r="G25" s="104"/>
      <c r="H25" s="106"/>
      <c r="I25" s="104"/>
      <c r="J25" s="106"/>
      <c r="K25" s="104"/>
      <c r="L25" s="106" t="s">
        <v>55</v>
      </c>
      <c r="M25" s="106" t="s">
        <v>56</v>
      </c>
      <c r="N25" s="365"/>
      <c r="O25" s="366"/>
      <c r="P25" s="106" t="s">
        <v>57</v>
      </c>
      <c r="Q25" s="106" t="s">
        <v>56</v>
      </c>
      <c r="R25" s="103" t="s">
        <v>57</v>
      </c>
      <c r="S25" s="104" t="s">
        <v>59</v>
      </c>
      <c r="T25" s="378"/>
      <c r="U25" s="378"/>
      <c r="V25" s="103" t="s">
        <v>56</v>
      </c>
      <c r="W25" s="104" t="s">
        <v>56</v>
      </c>
      <c r="X25" s="106" t="s">
        <v>57</v>
      </c>
      <c r="Y25" s="106" t="s">
        <v>55</v>
      </c>
      <c r="Z25" s="368"/>
      <c r="AA25" s="369"/>
      <c r="AB25" s="106" t="s">
        <v>59</v>
      </c>
      <c r="AC25" s="106" t="s">
        <v>59</v>
      </c>
      <c r="AD25" s="103" t="s">
        <v>60</v>
      </c>
      <c r="AE25" s="104" t="s">
        <v>59</v>
      </c>
      <c r="AF25" s="106" t="s">
        <v>59</v>
      </c>
      <c r="AG25" s="106" t="s">
        <v>57</v>
      </c>
      <c r="AH25" s="103" t="s">
        <v>56</v>
      </c>
      <c r="AI25" s="104" t="s">
        <v>57</v>
      </c>
      <c r="AJ25" s="106" t="s">
        <v>59</v>
      </c>
      <c r="AK25" s="106" t="s">
        <v>56</v>
      </c>
      <c r="AL25" s="103" t="s">
        <v>57</v>
      </c>
      <c r="AM25" s="104" t="s">
        <v>60</v>
      </c>
      <c r="AN25" s="106" t="s">
        <v>59</v>
      </c>
      <c r="AO25" s="106" t="s">
        <v>55</v>
      </c>
      <c r="AP25" s="103" t="s">
        <v>60</v>
      </c>
      <c r="AQ25" s="104" t="s">
        <v>58</v>
      </c>
      <c r="AR25" s="407"/>
      <c r="AS25" s="407"/>
      <c r="AT25" s="103" t="s">
        <v>56</v>
      </c>
      <c r="AU25" s="104" t="s">
        <v>57</v>
      </c>
      <c r="AV25" s="404"/>
      <c r="AW25" s="404"/>
      <c r="AX25" s="103" t="s">
        <v>60</v>
      </c>
      <c r="AY25" s="104" t="s">
        <v>56</v>
      </c>
      <c r="AZ25" s="26" t="s">
        <v>56</v>
      </c>
      <c r="BA25" s="26" t="s">
        <v>59</v>
      </c>
      <c r="BB25" s="103" t="s">
        <v>56</v>
      </c>
      <c r="BC25" s="104" t="s">
        <v>57</v>
      </c>
      <c r="BD25" s="399"/>
      <c r="BE25" s="399"/>
      <c r="BF25" s="103" t="s">
        <v>55</v>
      </c>
      <c r="BG25" s="104" t="s">
        <v>59</v>
      </c>
      <c r="BH25" s="106" t="s">
        <v>58</v>
      </c>
      <c r="BI25" s="106" t="s">
        <v>58</v>
      </c>
      <c r="BJ25" s="103" t="s">
        <v>57</v>
      </c>
      <c r="BK25" s="104" t="s">
        <v>59</v>
      </c>
      <c r="BL25" s="106" t="s">
        <v>55</v>
      </c>
      <c r="BM25" s="106" t="s">
        <v>56</v>
      </c>
      <c r="BN25" s="103"/>
      <c r="BO25" s="104"/>
      <c r="BP25" s="106"/>
      <c r="BQ25" s="106"/>
      <c r="BR25" s="103" t="s">
        <v>57</v>
      </c>
      <c r="BS25" s="104" t="s">
        <v>56</v>
      </c>
      <c r="BT25" s="385"/>
      <c r="BU25" s="386"/>
      <c r="BV25" s="103" t="s">
        <v>55</v>
      </c>
      <c r="BW25" s="104" t="s">
        <v>55</v>
      </c>
      <c r="BX25" s="106" t="s">
        <v>59</v>
      </c>
      <c r="BY25" s="106" t="s">
        <v>57</v>
      </c>
      <c r="BZ25" s="103" t="s">
        <v>56</v>
      </c>
      <c r="CA25" s="104" t="s">
        <v>56</v>
      </c>
      <c r="CB25" s="106"/>
      <c r="CC25" s="106"/>
      <c r="CD25" s="103"/>
      <c r="CE25" s="104"/>
      <c r="CF25" s="106"/>
      <c r="CG25" s="104"/>
      <c r="CH25" s="103"/>
      <c r="CI25" s="104"/>
      <c r="CJ25" s="106"/>
      <c r="CK25" s="104"/>
      <c r="CL25" s="103"/>
      <c r="CM25" s="104"/>
      <c r="CN25" s="106"/>
      <c r="CO25" s="104"/>
    </row>
    <row r="26" spans="1:93" ht="18.75" customHeight="1" thickTop="1">
      <c r="A26" s="285">
        <f t="shared" si="2"/>
        <v>64</v>
      </c>
      <c r="B26" s="421">
        <v>64</v>
      </c>
      <c r="C26" s="422"/>
      <c r="D26" s="26"/>
      <c r="E26" s="102"/>
      <c r="F26" s="26"/>
      <c r="G26" s="102"/>
      <c r="H26" s="26"/>
      <c r="I26" s="102"/>
      <c r="J26" s="26"/>
      <c r="K26" s="102"/>
      <c r="L26" s="26" t="s">
        <v>54</v>
      </c>
      <c r="M26" s="26" t="s">
        <v>60</v>
      </c>
      <c r="N26" s="101" t="s">
        <v>54</v>
      </c>
      <c r="O26" s="102" t="s">
        <v>60</v>
      </c>
      <c r="P26" s="26" t="s">
        <v>58</v>
      </c>
      <c r="Q26" s="26" t="s">
        <v>58</v>
      </c>
      <c r="R26" s="408" t="s">
        <v>42</v>
      </c>
      <c r="S26" s="409"/>
      <c r="T26" s="413" t="s">
        <v>63</v>
      </c>
      <c r="U26" s="414"/>
      <c r="V26" s="101" t="s">
        <v>58</v>
      </c>
      <c r="W26" s="102" t="s">
        <v>57</v>
      </c>
      <c r="X26" s="26" t="s">
        <v>60</v>
      </c>
      <c r="Y26" s="26" t="s">
        <v>56</v>
      </c>
      <c r="Z26" s="101" t="s">
        <v>60</v>
      </c>
      <c r="AA26" s="102" t="s">
        <v>60</v>
      </c>
      <c r="AB26" s="26" t="s">
        <v>60</v>
      </c>
      <c r="AC26" s="26" t="s">
        <v>55</v>
      </c>
      <c r="AD26" s="101" t="s">
        <v>59</v>
      </c>
      <c r="AE26" s="102" t="s">
        <v>56</v>
      </c>
      <c r="AF26" s="26" t="s">
        <v>55</v>
      </c>
      <c r="AG26" s="26" t="s">
        <v>58</v>
      </c>
      <c r="AH26" s="101" t="s">
        <v>58</v>
      </c>
      <c r="AI26" s="102" t="s">
        <v>59</v>
      </c>
      <c r="AJ26" s="26" t="s">
        <v>59</v>
      </c>
      <c r="AK26" s="26" t="s">
        <v>59</v>
      </c>
      <c r="AL26" s="101" t="s">
        <v>54</v>
      </c>
      <c r="AM26" s="102" t="s">
        <v>56</v>
      </c>
      <c r="AN26" s="26" t="s">
        <v>56</v>
      </c>
      <c r="AO26" s="26" t="s">
        <v>60</v>
      </c>
      <c r="AP26" s="101" t="s">
        <v>54</v>
      </c>
      <c r="AQ26" s="102" t="s">
        <v>58</v>
      </c>
      <c r="AR26" s="26" t="s">
        <v>58</v>
      </c>
      <c r="AS26" s="26" t="s">
        <v>55</v>
      </c>
      <c r="AT26" s="419" t="s">
        <v>11</v>
      </c>
      <c r="AU26" s="420"/>
      <c r="AV26" s="394" t="s">
        <v>2</v>
      </c>
      <c r="AW26" s="394"/>
      <c r="AX26" s="101" t="s">
        <v>57</v>
      </c>
      <c r="AY26" s="26" t="s">
        <v>56</v>
      </c>
      <c r="AZ26" s="289" t="s">
        <v>54</v>
      </c>
      <c r="BA26" s="100" t="s">
        <v>56</v>
      </c>
      <c r="BB26" s="26" t="s">
        <v>55</v>
      </c>
      <c r="BC26" s="102" t="s">
        <v>55</v>
      </c>
      <c r="BD26" s="26" t="s">
        <v>56</v>
      </c>
      <c r="BE26" s="26" t="s">
        <v>58</v>
      </c>
      <c r="BF26" s="101" t="s">
        <v>55</v>
      </c>
      <c r="BG26" s="102" t="s">
        <v>57</v>
      </c>
      <c r="BH26" s="26" t="s">
        <v>58</v>
      </c>
      <c r="BI26" s="26" t="s">
        <v>60</v>
      </c>
      <c r="BJ26" s="408" t="s">
        <v>21</v>
      </c>
      <c r="BK26" s="409"/>
      <c r="BL26" s="26" t="s">
        <v>55</v>
      </c>
      <c r="BM26" s="26" t="s">
        <v>56</v>
      </c>
      <c r="BN26" s="101" t="s">
        <v>54</v>
      </c>
      <c r="BO26" s="102" t="s">
        <v>60</v>
      </c>
      <c r="BP26" s="101" t="s">
        <v>54</v>
      </c>
      <c r="BQ26" s="102" t="s">
        <v>60</v>
      </c>
      <c r="BR26" s="101" t="s">
        <v>58</v>
      </c>
      <c r="BS26" s="102" t="s">
        <v>59</v>
      </c>
      <c r="BT26" s="26" t="s">
        <v>58</v>
      </c>
      <c r="BU26" s="26" t="s">
        <v>58</v>
      </c>
      <c r="BV26" s="101" t="s">
        <v>54</v>
      </c>
      <c r="BW26" s="102" t="s">
        <v>58</v>
      </c>
      <c r="BX26" s="26" t="s">
        <v>54</v>
      </c>
      <c r="BY26" s="26" t="s">
        <v>56</v>
      </c>
      <c r="BZ26" s="101" t="s">
        <v>54</v>
      </c>
      <c r="CA26" s="102" t="s">
        <v>58</v>
      </c>
      <c r="CB26" s="26"/>
      <c r="CC26" s="26"/>
      <c r="CD26" s="101"/>
      <c r="CE26" s="102"/>
      <c r="CF26" s="26"/>
      <c r="CG26" s="102"/>
      <c r="CH26" s="101"/>
      <c r="CI26" s="102"/>
      <c r="CJ26" s="26"/>
      <c r="CK26" s="102"/>
      <c r="CL26" s="101"/>
      <c r="CM26" s="102"/>
      <c r="CN26" s="26"/>
      <c r="CO26" s="102"/>
    </row>
    <row r="27" spans="1:93" ht="18.75" customHeight="1" thickBot="1">
      <c r="A27" s="285">
        <f t="shared" si="2"/>
        <v>64</v>
      </c>
      <c r="B27" s="423"/>
      <c r="C27" s="424"/>
      <c r="D27" s="26"/>
      <c r="E27" s="102"/>
      <c r="F27" s="26"/>
      <c r="G27" s="102"/>
      <c r="H27" s="26"/>
      <c r="I27" s="102"/>
      <c r="J27" s="26"/>
      <c r="K27" s="102"/>
      <c r="L27" s="26" t="s">
        <v>60</v>
      </c>
      <c r="M27" s="26" t="s">
        <v>56</v>
      </c>
      <c r="N27" s="101" t="s">
        <v>58</v>
      </c>
      <c r="O27" s="102" t="s">
        <v>59</v>
      </c>
      <c r="P27" s="26" t="s">
        <v>57</v>
      </c>
      <c r="Q27" s="26" t="s">
        <v>55</v>
      </c>
      <c r="R27" s="410"/>
      <c r="S27" s="409"/>
      <c r="T27" s="414"/>
      <c r="U27" s="414"/>
      <c r="V27" s="101" t="s">
        <v>56</v>
      </c>
      <c r="W27" s="102" t="s">
        <v>59</v>
      </c>
      <c r="X27" s="26" t="s">
        <v>55</v>
      </c>
      <c r="Y27" s="26" t="s">
        <v>59</v>
      </c>
      <c r="Z27" s="101" t="s">
        <v>58</v>
      </c>
      <c r="AA27" s="102" t="s">
        <v>55</v>
      </c>
      <c r="AB27" s="26" t="s">
        <v>56</v>
      </c>
      <c r="AC27" s="26" t="s">
        <v>56</v>
      </c>
      <c r="AD27" s="101" t="s">
        <v>55</v>
      </c>
      <c r="AE27" s="102" t="s">
        <v>57</v>
      </c>
      <c r="AF27" s="26" t="s">
        <v>57</v>
      </c>
      <c r="AG27" s="26" t="s">
        <v>56</v>
      </c>
      <c r="AH27" s="101" t="s">
        <v>56</v>
      </c>
      <c r="AI27" s="102" t="s">
        <v>55</v>
      </c>
      <c r="AJ27" s="26" t="s">
        <v>60</v>
      </c>
      <c r="AK27" s="26" t="s">
        <v>57</v>
      </c>
      <c r="AL27" s="101" t="s">
        <v>58</v>
      </c>
      <c r="AM27" s="102" t="s">
        <v>55</v>
      </c>
      <c r="AN27" s="26" t="s">
        <v>60</v>
      </c>
      <c r="AO27" s="26" t="s">
        <v>55</v>
      </c>
      <c r="AP27" s="101" t="s">
        <v>57</v>
      </c>
      <c r="AQ27" s="102" t="s">
        <v>55</v>
      </c>
      <c r="AR27" s="26" t="s">
        <v>59</v>
      </c>
      <c r="AS27" s="26" t="s">
        <v>57</v>
      </c>
      <c r="AT27" s="419"/>
      <c r="AU27" s="420"/>
      <c r="AV27" s="394"/>
      <c r="AW27" s="394"/>
      <c r="AX27" s="101" t="s">
        <v>60</v>
      </c>
      <c r="AY27" s="26" t="s">
        <v>58</v>
      </c>
      <c r="AZ27" s="103" t="s">
        <v>55</v>
      </c>
      <c r="BA27" s="104" t="s">
        <v>60</v>
      </c>
      <c r="BB27" s="26" t="s">
        <v>54</v>
      </c>
      <c r="BC27" s="102" t="s">
        <v>60</v>
      </c>
      <c r="BD27" s="26" t="s">
        <v>57</v>
      </c>
      <c r="BE27" s="26" t="s">
        <v>59</v>
      </c>
      <c r="BF27" s="101" t="s">
        <v>59</v>
      </c>
      <c r="BG27" s="102" t="s">
        <v>59</v>
      </c>
      <c r="BH27" s="26" t="s">
        <v>57</v>
      </c>
      <c r="BI27" s="26" t="s">
        <v>56</v>
      </c>
      <c r="BJ27" s="410"/>
      <c r="BK27" s="409"/>
      <c r="BL27" s="26" t="s">
        <v>59</v>
      </c>
      <c r="BM27" s="26" t="s">
        <v>59</v>
      </c>
      <c r="BN27" s="101" t="s">
        <v>58</v>
      </c>
      <c r="BO27" s="102" t="s">
        <v>58</v>
      </c>
      <c r="BP27" s="101" t="s">
        <v>57</v>
      </c>
      <c r="BQ27" s="102" t="s">
        <v>55</v>
      </c>
      <c r="BR27" s="101" t="s">
        <v>55</v>
      </c>
      <c r="BS27" s="102" t="s">
        <v>55</v>
      </c>
      <c r="BT27" s="26" t="s">
        <v>57</v>
      </c>
      <c r="BU27" s="26" t="s">
        <v>56</v>
      </c>
      <c r="BV27" s="101" t="s">
        <v>57</v>
      </c>
      <c r="BW27" s="102" t="s">
        <v>55</v>
      </c>
      <c r="BX27" s="26" t="s">
        <v>57</v>
      </c>
      <c r="BY27" s="26" t="s">
        <v>57</v>
      </c>
      <c r="BZ27" s="101" t="s">
        <v>57</v>
      </c>
      <c r="CA27" s="102" t="s">
        <v>55</v>
      </c>
      <c r="CB27" s="26"/>
      <c r="CC27" s="26"/>
      <c r="CD27" s="101"/>
      <c r="CE27" s="102"/>
      <c r="CF27" s="26"/>
      <c r="CG27" s="102"/>
      <c r="CH27" s="101"/>
      <c r="CI27" s="102"/>
      <c r="CJ27" s="26"/>
      <c r="CK27" s="102"/>
      <c r="CL27" s="101"/>
      <c r="CM27" s="102"/>
      <c r="CN27" s="26"/>
      <c r="CO27" s="102"/>
    </row>
    <row r="28" spans="1:93" ht="18.75" customHeight="1" thickTop="1">
      <c r="A28" s="285">
        <f t="shared" si="2"/>
        <v>63</v>
      </c>
      <c r="B28" s="421">
        <v>63</v>
      </c>
      <c r="C28" s="422"/>
      <c r="D28" s="105"/>
      <c r="E28" s="100"/>
      <c r="F28" s="105"/>
      <c r="G28" s="100"/>
      <c r="H28" s="105"/>
      <c r="I28" s="100"/>
      <c r="J28" s="105"/>
      <c r="K28" s="100"/>
      <c r="L28" s="105"/>
      <c r="M28" s="105"/>
      <c r="N28" s="99" t="s">
        <v>60</v>
      </c>
      <c r="O28" s="100" t="s">
        <v>59</v>
      </c>
      <c r="P28" s="105" t="s">
        <v>54</v>
      </c>
      <c r="Q28" s="105" t="s">
        <v>55</v>
      </c>
      <c r="R28" s="99" t="s">
        <v>54</v>
      </c>
      <c r="S28" s="100" t="s">
        <v>55</v>
      </c>
      <c r="T28" s="105" t="s">
        <v>54</v>
      </c>
      <c r="U28" s="105" t="s">
        <v>57</v>
      </c>
      <c r="V28" s="99" t="s">
        <v>58</v>
      </c>
      <c r="W28" s="100" t="s">
        <v>59</v>
      </c>
      <c r="X28" s="105" t="s">
        <v>60</v>
      </c>
      <c r="Y28" s="105" t="s">
        <v>60</v>
      </c>
      <c r="Z28" s="99" t="s">
        <v>60</v>
      </c>
      <c r="AA28" s="100" t="s">
        <v>55</v>
      </c>
      <c r="AB28" s="105"/>
      <c r="AC28" s="105"/>
      <c r="AD28" s="99" t="s">
        <v>54</v>
      </c>
      <c r="AE28" s="100" t="s">
        <v>58</v>
      </c>
      <c r="AF28" s="105" t="s">
        <v>54</v>
      </c>
      <c r="AG28" s="105" t="s">
        <v>58</v>
      </c>
      <c r="AH28" s="99" t="s">
        <v>55</v>
      </c>
      <c r="AI28" s="100" t="s">
        <v>59</v>
      </c>
      <c r="AJ28" s="398" t="s">
        <v>65</v>
      </c>
      <c r="AK28" s="398"/>
      <c r="AL28" s="379"/>
      <c r="AM28" s="380"/>
      <c r="AN28" s="405" t="s">
        <v>48</v>
      </c>
      <c r="AO28" s="406"/>
      <c r="AP28" s="99" t="s">
        <v>54</v>
      </c>
      <c r="AQ28" s="100" t="s">
        <v>58</v>
      </c>
      <c r="AR28" s="105" t="s">
        <v>60</v>
      </c>
      <c r="AS28" s="105" t="s">
        <v>59</v>
      </c>
      <c r="AT28" s="99" t="s">
        <v>54</v>
      </c>
      <c r="AU28" s="100" t="s">
        <v>58</v>
      </c>
      <c r="AV28" s="403" t="s">
        <v>2</v>
      </c>
      <c r="AW28" s="403"/>
      <c r="AX28" s="99" t="s">
        <v>56</v>
      </c>
      <c r="AY28" s="100" t="s">
        <v>55</v>
      </c>
      <c r="AZ28" s="26" t="s">
        <v>54</v>
      </c>
      <c r="BA28" s="26" t="s">
        <v>58</v>
      </c>
      <c r="BB28" s="99" t="s">
        <v>59</v>
      </c>
      <c r="BC28" s="100" t="s">
        <v>55</v>
      </c>
      <c r="BD28" s="105" t="s">
        <v>60</v>
      </c>
      <c r="BE28" s="105" t="s">
        <v>60</v>
      </c>
      <c r="BF28" s="99" t="s">
        <v>54</v>
      </c>
      <c r="BG28" s="105" t="s">
        <v>56</v>
      </c>
      <c r="BH28" s="363" t="s">
        <v>80</v>
      </c>
      <c r="BI28" s="364"/>
      <c r="BJ28" s="405" t="s">
        <v>22</v>
      </c>
      <c r="BK28" s="367"/>
      <c r="BL28" s="105" t="s">
        <v>58</v>
      </c>
      <c r="BM28" s="105" t="s">
        <v>55</v>
      </c>
      <c r="BN28" s="99" t="s">
        <v>58</v>
      </c>
      <c r="BO28" s="100" t="s">
        <v>57</v>
      </c>
      <c r="BP28" s="377"/>
      <c r="BQ28" s="380"/>
      <c r="BR28" s="99" t="s">
        <v>54</v>
      </c>
      <c r="BS28" s="100" t="s">
        <v>58</v>
      </c>
      <c r="BT28" s="105" t="s">
        <v>57</v>
      </c>
      <c r="BU28" s="105" t="s">
        <v>59</v>
      </c>
      <c r="BV28" s="99" t="s">
        <v>60</v>
      </c>
      <c r="BW28" s="100" t="s">
        <v>56</v>
      </c>
      <c r="BX28" s="105" t="s">
        <v>58</v>
      </c>
      <c r="BY28" s="105" t="s">
        <v>57</v>
      </c>
      <c r="BZ28" s="99" t="s">
        <v>54</v>
      </c>
      <c r="CA28" s="100" t="s">
        <v>58</v>
      </c>
      <c r="CB28" s="105"/>
      <c r="CC28" s="105"/>
      <c r="CD28" s="99"/>
      <c r="CE28" s="100"/>
      <c r="CF28" s="105"/>
      <c r="CG28" s="100"/>
      <c r="CH28" s="152"/>
      <c r="CI28" s="100"/>
      <c r="CJ28" s="105"/>
      <c r="CK28" s="100"/>
      <c r="CL28" s="152"/>
      <c r="CM28" s="100"/>
      <c r="CN28" s="105"/>
      <c r="CO28" s="100"/>
    </row>
    <row r="29" spans="1:93" ht="18.75" customHeight="1" thickBot="1">
      <c r="A29" s="285">
        <f t="shared" si="2"/>
        <v>63</v>
      </c>
      <c r="B29" s="423"/>
      <c r="C29" s="424"/>
      <c r="D29" s="106"/>
      <c r="E29" s="104"/>
      <c r="F29" s="106"/>
      <c r="G29" s="104"/>
      <c r="H29" s="106"/>
      <c r="I29" s="104"/>
      <c r="J29" s="106"/>
      <c r="K29" s="104"/>
      <c r="L29" s="106"/>
      <c r="M29" s="106"/>
      <c r="N29" s="103" t="s">
        <v>56</v>
      </c>
      <c r="O29" s="104" t="s">
        <v>56</v>
      </c>
      <c r="P29" s="106" t="s">
        <v>59</v>
      </c>
      <c r="Q29" s="106" t="s">
        <v>56</v>
      </c>
      <c r="R29" s="103" t="s">
        <v>59</v>
      </c>
      <c r="S29" s="104" t="s">
        <v>56</v>
      </c>
      <c r="T29" s="106" t="s">
        <v>56</v>
      </c>
      <c r="U29" s="106" t="s">
        <v>56</v>
      </c>
      <c r="V29" s="103" t="s">
        <v>56</v>
      </c>
      <c r="W29" s="104" t="s">
        <v>59</v>
      </c>
      <c r="X29" s="106" t="s">
        <v>55</v>
      </c>
      <c r="Y29" s="106" t="s">
        <v>57</v>
      </c>
      <c r="Z29" s="103" t="s">
        <v>59</v>
      </c>
      <c r="AA29" s="104" t="s">
        <v>59</v>
      </c>
      <c r="AB29" s="106"/>
      <c r="AC29" s="106"/>
      <c r="AD29" s="103" t="s">
        <v>60</v>
      </c>
      <c r="AE29" s="104" t="s">
        <v>55</v>
      </c>
      <c r="AF29" s="106" t="s">
        <v>59</v>
      </c>
      <c r="AG29" s="106" t="s">
        <v>56</v>
      </c>
      <c r="AH29" s="103" t="s">
        <v>56</v>
      </c>
      <c r="AI29" s="104" t="s">
        <v>57</v>
      </c>
      <c r="AJ29" s="399"/>
      <c r="AK29" s="399"/>
      <c r="AL29" s="381"/>
      <c r="AM29" s="382"/>
      <c r="AN29" s="407"/>
      <c r="AO29" s="407"/>
      <c r="AP29" s="103" t="s">
        <v>57</v>
      </c>
      <c r="AQ29" s="104" t="s">
        <v>55</v>
      </c>
      <c r="AR29" s="106" t="s">
        <v>58</v>
      </c>
      <c r="AS29" s="106" t="s">
        <v>58</v>
      </c>
      <c r="AT29" s="103" t="s">
        <v>59</v>
      </c>
      <c r="AU29" s="104" t="s">
        <v>57</v>
      </c>
      <c r="AV29" s="404"/>
      <c r="AW29" s="404"/>
      <c r="AX29" s="103" t="s">
        <v>59</v>
      </c>
      <c r="AY29" s="104" t="s">
        <v>59</v>
      </c>
      <c r="AZ29" s="106" t="s">
        <v>57</v>
      </c>
      <c r="BA29" s="106" t="s">
        <v>55</v>
      </c>
      <c r="BB29" s="103" t="s">
        <v>57</v>
      </c>
      <c r="BC29" s="104" t="s">
        <v>57</v>
      </c>
      <c r="BD29" s="106" t="s">
        <v>56</v>
      </c>
      <c r="BE29" s="106" t="s">
        <v>59</v>
      </c>
      <c r="BF29" s="103" t="s">
        <v>57</v>
      </c>
      <c r="BG29" s="106" t="s">
        <v>58</v>
      </c>
      <c r="BH29" s="365"/>
      <c r="BI29" s="366"/>
      <c r="BJ29" s="407"/>
      <c r="BK29" s="369"/>
      <c r="BL29" s="106" t="s">
        <v>59</v>
      </c>
      <c r="BM29" s="106" t="s">
        <v>59</v>
      </c>
      <c r="BN29" s="103" t="s">
        <v>59</v>
      </c>
      <c r="BO29" s="104" t="s">
        <v>55</v>
      </c>
      <c r="BP29" s="378"/>
      <c r="BQ29" s="382"/>
      <c r="BR29" s="103" t="s">
        <v>55</v>
      </c>
      <c r="BS29" s="104" t="s">
        <v>55</v>
      </c>
      <c r="BT29" s="106" t="s">
        <v>56</v>
      </c>
      <c r="BU29" s="106" t="s">
        <v>56</v>
      </c>
      <c r="BV29" s="103" t="s">
        <v>55</v>
      </c>
      <c r="BW29" s="104" t="s">
        <v>55</v>
      </c>
      <c r="BX29" s="106" t="s">
        <v>59</v>
      </c>
      <c r="BY29" s="106" t="s">
        <v>55</v>
      </c>
      <c r="BZ29" s="103" t="s">
        <v>60</v>
      </c>
      <c r="CA29" s="104" t="s">
        <v>59</v>
      </c>
      <c r="CB29" s="106"/>
      <c r="CC29" s="106"/>
      <c r="CD29" s="103"/>
      <c r="CE29" s="104"/>
      <c r="CF29" s="106"/>
      <c r="CG29" s="104"/>
      <c r="CH29" s="103"/>
      <c r="CI29" s="104"/>
      <c r="CJ29" s="106"/>
      <c r="CK29" s="104"/>
      <c r="CL29" s="103"/>
      <c r="CM29" s="104"/>
      <c r="CN29" s="106"/>
      <c r="CO29" s="104"/>
    </row>
    <row r="30" spans="1:93" ht="18.75" customHeight="1" thickTop="1">
      <c r="A30" s="285">
        <f t="shared" si="2"/>
        <v>62</v>
      </c>
      <c r="B30" s="421">
        <v>62</v>
      </c>
      <c r="C30" s="422"/>
      <c r="D30" s="26"/>
      <c r="E30" s="102"/>
      <c r="F30" s="26"/>
      <c r="G30" s="102"/>
      <c r="H30" s="26"/>
      <c r="I30" s="102"/>
      <c r="J30" s="26"/>
      <c r="K30" s="102"/>
      <c r="L30" s="26"/>
      <c r="M30" s="26"/>
      <c r="N30" s="101" t="s">
        <v>54</v>
      </c>
      <c r="O30" s="102" t="s">
        <v>60</v>
      </c>
      <c r="P30" s="26" t="s">
        <v>54</v>
      </c>
      <c r="Q30" s="26" t="s">
        <v>58</v>
      </c>
      <c r="R30" s="411"/>
      <c r="S30" s="412"/>
      <c r="T30" s="397"/>
      <c r="U30" s="397"/>
      <c r="V30" s="101" t="s">
        <v>58</v>
      </c>
      <c r="W30" s="102" t="s">
        <v>58</v>
      </c>
      <c r="X30" s="26"/>
      <c r="Y30" s="26"/>
      <c r="Z30" s="359"/>
      <c r="AA30" s="360"/>
      <c r="AB30" s="26"/>
      <c r="AC30" s="26"/>
      <c r="AD30" s="101" t="s">
        <v>56</v>
      </c>
      <c r="AE30" s="102" t="s">
        <v>56</v>
      </c>
      <c r="AF30" s="26" t="s">
        <v>56</v>
      </c>
      <c r="AG30" s="26" t="s">
        <v>54</v>
      </c>
      <c r="AH30" s="408" t="s">
        <v>105</v>
      </c>
      <c r="AI30" s="409"/>
      <c r="AJ30" s="26" t="s">
        <v>54</v>
      </c>
      <c r="AK30" s="26" t="s">
        <v>58</v>
      </c>
      <c r="AL30" s="101" t="s">
        <v>56</v>
      </c>
      <c r="AM30" s="102" t="s">
        <v>57</v>
      </c>
      <c r="AN30" s="397"/>
      <c r="AO30" s="397"/>
      <c r="AP30" s="101" t="s">
        <v>54</v>
      </c>
      <c r="AQ30" s="102" t="s">
        <v>58</v>
      </c>
      <c r="AR30" s="26" t="s">
        <v>54</v>
      </c>
      <c r="AS30" s="26" t="s">
        <v>58</v>
      </c>
      <c r="AT30" s="101" t="s">
        <v>58</v>
      </c>
      <c r="AU30" s="102" t="s">
        <v>58</v>
      </c>
      <c r="AV30" s="26" t="s">
        <v>55</v>
      </c>
      <c r="AW30" s="26" t="s">
        <v>55</v>
      </c>
      <c r="AX30" s="101" t="s">
        <v>59</v>
      </c>
      <c r="AY30" s="102" t="s">
        <v>59</v>
      </c>
      <c r="AZ30" s="26" t="s">
        <v>54</v>
      </c>
      <c r="BA30" s="26" t="s">
        <v>60</v>
      </c>
      <c r="BB30" s="101" t="s">
        <v>59</v>
      </c>
      <c r="BC30" s="102" t="s">
        <v>59</v>
      </c>
      <c r="BD30" s="26" t="s">
        <v>54</v>
      </c>
      <c r="BE30" s="26" t="s">
        <v>56</v>
      </c>
      <c r="BF30" s="101" t="s">
        <v>56</v>
      </c>
      <c r="BG30" s="102" t="s">
        <v>57</v>
      </c>
      <c r="BH30" s="26" t="s">
        <v>58</v>
      </c>
      <c r="BI30" s="26" t="s">
        <v>57</v>
      </c>
      <c r="BJ30" s="101" t="s">
        <v>60</v>
      </c>
      <c r="BK30" s="102" t="s">
        <v>55</v>
      </c>
      <c r="BL30" s="26" t="s">
        <v>54</v>
      </c>
      <c r="BM30" s="26" t="s">
        <v>60</v>
      </c>
      <c r="BN30" s="99" t="s">
        <v>58</v>
      </c>
      <c r="BO30" s="100" t="s">
        <v>55</v>
      </c>
      <c r="BP30" s="26" t="s">
        <v>58</v>
      </c>
      <c r="BQ30" s="26" t="s">
        <v>60</v>
      </c>
      <c r="BR30" s="101" t="s">
        <v>60</v>
      </c>
      <c r="BS30" s="102" t="s">
        <v>59</v>
      </c>
      <c r="BT30" s="26" t="s">
        <v>58</v>
      </c>
      <c r="BU30" s="26" t="s">
        <v>55</v>
      </c>
      <c r="BV30" s="101" t="s">
        <v>58</v>
      </c>
      <c r="BW30" s="102" t="s">
        <v>60</v>
      </c>
      <c r="BX30" s="26" t="s">
        <v>58</v>
      </c>
      <c r="BY30" s="26" t="s">
        <v>55</v>
      </c>
      <c r="BZ30" s="101" t="s">
        <v>57</v>
      </c>
      <c r="CA30" s="102" t="s">
        <v>57</v>
      </c>
      <c r="CB30" s="26"/>
      <c r="CC30" s="26"/>
      <c r="CD30" s="101"/>
      <c r="CE30" s="102"/>
      <c r="CF30" s="26"/>
      <c r="CG30" s="102"/>
      <c r="CH30" s="101"/>
      <c r="CI30" s="102"/>
      <c r="CJ30" s="26"/>
      <c r="CK30" s="102"/>
      <c r="CL30" s="101"/>
      <c r="CM30" s="102"/>
      <c r="CN30" s="26"/>
      <c r="CO30" s="102"/>
    </row>
    <row r="31" spans="1:93" ht="18.75" customHeight="1" thickBot="1">
      <c r="A31" s="285">
        <f t="shared" si="2"/>
        <v>62</v>
      </c>
      <c r="B31" s="423"/>
      <c r="C31" s="424"/>
      <c r="D31" s="26"/>
      <c r="E31" s="102"/>
      <c r="F31" s="26"/>
      <c r="G31" s="102"/>
      <c r="H31" s="26"/>
      <c r="I31" s="102"/>
      <c r="J31" s="26"/>
      <c r="K31" s="102"/>
      <c r="L31" s="26"/>
      <c r="M31" s="26"/>
      <c r="N31" s="101" t="s">
        <v>58</v>
      </c>
      <c r="O31" s="102" t="s">
        <v>57</v>
      </c>
      <c r="P31" s="26" t="s">
        <v>59</v>
      </c>
      <c r="Q31" s="26" t="s">
        <v>55</v>
      </c>
      <c r="R31" s="411"/>
      <c r="S31" s="412"/>
      <c r="T31" s="397"/>
      <c r="U31" s="397"/>
      <c r="V31" s="101" t="s">
        <v>56</v>
      </c>
      <c r="W31" s="102" t="s">
        <v>57</v>
      </c>
      <c r="X31" s="26"/>
      <c r="Y31" s="26"/>
      <c r="Z31" s="361"/>
      <c r="AA31" s="362"/>
      <c r="AB31" s="26"/>
      <c r="AC31" s="26"/>
      <c r="AD31" s="101" t="s">
        <v>60</v>
      </c>
      <c r="AE31" s="102" t="s">
        <v>58</v>
      </c>
      <c r="AF31" s="26" t="s">
        <v>55</v>
      </c>
      <c r="AG31" s="26" t="s">
        <v>58</v>
      </c>
      <c r="AH31" s="410"/>
      <c r="AI31" s="409"/>
      <c r="AJ31" s="26" t="s">
        <v>55</v>
      </c>
      <c r="AK31" s="26" t="s">
        <v>57</v>
      </c>
      <c r="AL31" s="101" t="s">
        <v>57</v>
      </c>
      <c r="AM31" s="102" t="s">
        <v>55</v>
      </c>
      <c r="AN31" s="397"/>
      <c r="AO31" s="397"/>
      <c r="AP31" s="101" t="s">
        <v>57</v>
      </c>
      <c r="AQ31" s="102" t="s">
        <v>55</v>
      </c>
      <c r="AR31" s="26" t="s">
        <v>60</v>
      </c>
      <c r="AS31" s="26" t="s">
        <v>55</v>
      </c>
      <c r="AT31" s="101" t="s">
        <v>59</v>
      </c>
      <c r="AU31" s="102" t="s">
        <v>57</v>
      </c>
      <c r="AV31" s="26" t="s">
        <v>59</v>
      </c>
      <c r="AW31" s="26" t="s">
        <v>57</v>
      </c>
      <c r="AX31" s="101" t="s">
        <v>57</v>
      </c>
      <c r="AY31" s="102" t="s">
        <v>58</v>
      </c>
      <c r="AZ31" s="26" t="s">
        <v>56</v>
      </c>
      <c r="BA31" s="26" t="s">
        <v>59</v>
      </c>
      <c r="BB31" s="101" t="s">
        <v>60</v>
      </c>
      <c r="BC31" s="102" t="s">
        <v>57</v>
      </c>
      <c r="BD31" s="26" t="s">
        <v>55</v>
      </c>
      <c r="BE31" s="26" t="s">
        <v>60</v>
      </c>
      <c r="BF31" s="101" t="s">
        <v>55</v>
      </c>
      <c r="BG31" s="102" t="s">
        <v>58</v>
      </c>
      <c r="BH31" s="26" t="s">
        <v>55</v>
      </c>
      <c r="BI31" s="26" t="s">
        <v>55</v>
      </c>
      <c r="BJ31" s="101" t="s">
        <v>57</v>
      </c>
      <c r="BK31" s="102" t="s">
        <v>57</v>
      </c>
      <c r="BL31" s="26" t="s">
        <v>55</v>
      </c>
      <c r="BM31" s="26" t="s">
        <v>56</v>
      </c>
      <c r="BN31" s="103" t="s">
        <v>59</v>
      </c>
      <c r="BO31" s="104" t="s">
        <v>59</v>
      </c>
      <c r="BP31" s="26" t="s">
        <v>59</v>
      </c>
      <c r="BQ31" s="26" t="s">
        <v>56</v>
      </c>
      <c r="BR31" s="101" t="s">
        <v>56</v>
      </c>
      <c r="BS31" s="102" t="s">
        <v>55</v>
      </c>
      <c r="BT31" s="26" t="s">
        <v>56</v>
      </c>
      <c r="BU31" s="26" t="s">
        <v>59</v>
      </c>
      <c r="BV31" s="101" t="s">
        <v>57</v>
      </c>
      <c r="BW31" s="102" t="s">
        <v>55</v>
      </c>
      <c r="BX31" s="26" t="s">
        <v>59</v>
      </c>
      <c r="BY31" s="26" t="s">
        <v>56</v>
      </c>
      <c r="BZ31" s="101" t="s">
        <v>59</v>
      </c>
      <c r="CA31" s="102" t="s">
        <v>55</v>
      </c>
      <c r="CB31" s="26"/>
      <c r="CC31" s="26"/>
      <c r="CD31" s="101"/>
      <c r="CE31" s="102"/>
      <c r="CF31" s="26"/>
      <c r="CG31" s="102"/>
      <c r="CH31" s="101"/>
      <c r="CI31" s="102"/>
      <c r="CJ31" s="26"/>
      <c r="CK31" s="102"/>
      <c r="CL31" s="101"/>
      <c r="CM31" s="102"/>
      <c r="CN31" s="26"/>
      <c r="CO31" s="102"/>
    </row>
    <row r="32" spans="1:93" ht="18.75" customHeight="1" thickTop="1">
      <c r="A32" s="285">
        <f t="shared" si="2"/>
        <v>61</v>
      </c>
      <c r="B32" s="421">
        <v>61</v>
      </c>
      <c r="C32" s="422"/>
      <c r="D32" s="105"/>
      <c r="E32" s="100"/>
      <c r="F32" s="105"/>
      <c r="G32" s="100"/>
      <c r="H32" s="105"/>
      <c r="I32" s="100"/>
      <c r="J32" s="105"/>
      <c r="K32" s="100"/>
      <c r="L32" s="105"/>
      <c r="M32" s="105"/>
      <c r="N32" s="99"/>
      <c r="O32" s="100"/>
      <c r="P32" s="105" t="s">
        <v>54</v>
      </c>
      <c r="Q32" s="105" t="s">
        <v>60</v>
      </c>
      <c r="R32" s="99" t="s">
        <v>54</v>
      </c>
      <c r="S32" s="100" t="s">
        <v>56</v>
      </c>
      <c r="T32" s="105"/>
      <c r="U32" s="105"/>
      <c r="V32" s="99"/>
      <c r="W32" s="100"/>
      <c r="X32" s="105"/>
      <c r="Y32" s="105"/>
      <c r="Z32" s="99"/>
      <c r="AA32" s="100"/>
      <c r="AB32" s="353" t="s">
        <v>106</v>
      </c>
      <c r="AC32" s="354"/>
      <c r="AD32" s="99" t="s">
        <v>57</v>
      </c>
      <c r="AE32" s="100" t="s">
        <v>60</v>
      </c>
      <c r="AF32" s="105" t="s">
        <v>59</v>
      </c>
      <c r="AG32" s="105" t="s">
        <v>56</v>
      </c>
      <c r="AH32" s="415" t="s">
        <v>103</v>
      </c>
      <c r="AI32" s="425"/>
      <c r="AJ32" s="105" t="s">
        <v>54</v>
      </c>
      <c r="AK32" s="105" t="s">
        <v>56</v>
      </c>
      <c r="AL32" s="99" t="s">
        <v>54</v>
      </c>
      <c r="AM32" s="100" t="s">
        <v>57</v>
      </c>
      <c r="AN32" s="105" t="s">
        <v>54</v>
      </c>
      <c r="AO32" s="105" t="s">
        <v>57</v>
      </c>
      <c r="AP32" s="99" t="s">
        <v>54</v>
      </c>
      <c r="AQ32" s="100" t="s">
        <v>60</v>
      </c>
      <c r="AR32" s="105" t="s">
        <v>54</v>
      </c>
      <c r="AS32" s="105" t="s">
        <v>60</v>
      </c>
      <c r="AT32" s="99" t="s">
        <v>60</v>
      </c>
      <c r="AU32" s="100" t="s">
        <v>58</v>
      </c>
      <c r="AV32" s="105" t="s">
        <v>54</v>
      </c>
      <c r="AW32" s="105" t="s">
        <v>59</v>
      </c>
      <c r="AX32" s="99" t="s">
        <v>54</v>
      </c>
      <c r="AY32" s="100" t="s">
        <v>58</v>
      </c>
      <c r="AZ32" s="405" t="s">
        <v>94</v>
      </c>
      <c r="BA32" s="406"/>
      <c r="BB32" s="363" t="s">
        <v>93</v>
      </c>
      <c r="BC32" s="367"/>
      <c r="BD32" s="105" t="s">
        <v>55</v>
      </c>
      <c r="BE32" s="105" t="s">
        <v>58</v>
      </c>
      <c r="BF32" s="99" t="s">
        <v>55</v>
      </c>
      <c r="BG32" s="100" t="s">
        <v>57</v>
      </c>
      <c r="BH32" s="105" t="s">
        <v>58</v>
      </c>
      <c r="BI32" s="105" t="s">
        <v>60</v>
      </c>
      <c r="BJ32" s="415" t="s">
        <v>103</v>
      </c>
      <c r="BK32" s="416"/>
      <c r="BL32" s="105" t="s">
        <v>60</v>
      </c>
      <c r="BM32" s="105" t="s">
        <v>60</v>
      </c>
      <c r="BN32" s="99" t="s">
        <v>54</v>
      </c>
      <c r="BO32" s="100" t="s">
        <v>58</v>
      </c>
      <c r="BP32" s="105" t="s">
        <v>54</v>
      </c>
      <c r="BQ32" s="105" t="s">
        <v>55</v>
      </c>
      <c r="BR32" s="99" t="s">
        <v>54</v>
      </c>
      <c r="BS32" s="100" t="s">
        <v>60</v>
      </c>
      <c r="BT32" s="105" t="s">
        <v>54</v>
      </c>
      <c r="BU32" s="105" t="s">
        <v>60</v>
      </c>
      <c r="BV32" s="99" t="s">
        <v>54</v>
      </c>
      <c r="BW32" s="100" t="s">
        <v>60</v>
      </c>
      <c r="BX32" s="105" t="s">
        <v>54</v>
      </c>
      <c r="BY32" s="105" t="s">
        <v>60</v>
      </c>
      <c r="BZ32" s="363" t="s">
        <v>119</v>
      </c>
      <c r="CA32" s="367"/>
      <c r="CB32" s="105"/>
      <c r="CC32" s="105"/>
      <c r="CD32" s="99"/>
      <c r="CE32" s="100"/>
      <c r="CF32" s="105"/>
      <c r="CG32" s="100"/>
      <c r="CH32" s="152"/>
      <c r="CI32" s="100"/>
      <c r="CJ32" s="105"/>
      <c r="CK32" s="100"/>
      <c r="CL32" s="152"/>
      <c r="CM32" s="100"/>
      <c r="CN32" s="105"/>
      <c r="CO32" s="100"/>
    </row>
    <row r="33" spans="1:93" ht="18.75" customHeight="1" thickBot="1">
      <c r="A33" s="285">
        <f t="shared" si="2"/>
        <v>61</v>
      </c>
      <c r="B33" s="423"/>
      <c r="C33" s="424"/>
      <c r="D33" s="106"/>
      <c r="E33" s="104"/>
      <c r="F33" s="106"/>
      <c r="G33" s="104"/>
      <c r="H33" s="106"/>
      <c r="I33" s="104"/>
      <c r="J33" s="106"/>
      <c r="K33" s="104"/>
      <c r="L33" s="106"/>
      <c r="M33" s="106"/>
      <c r="N33" s="103"/>
      <c r="O33" s="104"/>
      <c r="P33" s="106" t="s">
        <v>57</v>
      </c>
      <c r="Q33" s="106" t="s">
        <v>55</v>
      </c>
      <c r="R33" s="103" t="s">
        <v>55</v>
      </c>
      <c r="S33" s="104" t="s">
        <v>57</v>
      </c>
      <c r="T33" s="106"/>
      <c r="U33" s="106"/>
      <c r="V33" s="103"/>
      <c r="W33" s="104"/>
      <c r="X33" s="106"/>
      <c r="Y33" s="106"/>
      <c r="Z33" s="103"/>
      <c r="AA33" s="104"/>
      <c r="AB33" s="355"/>
      <c r="AC33" s="356"/>
      <c r="AD33" s="103" t="s">
        <v>56</v>
      </c>
      <c r="AE33" s="104" t="s">
        <v>55</v>
      </c>
      <c r="AF33" s="106" t="s">
        <v>57</v>
      </c>
      <c r="AG33" s="106" t="s">
        <v>58</v>
      </c>
      <c r="AH33" s="426"/>
      <c r="AI33" s="427"/>
      <c r="AJ33" s="106" t="s">
        <v>57</v>
      </c>
      <c r="AK33" s="106" t="s">
        <v>55</v>
      </c>
      <c r="AL33" s="103" t="s">
        <v>57</v>
      </c>
      <c r="AM33" s="104" t="s">
        <v>58</v>
      </c>
      <c r="AN33" s="106" t="s">
        <v>57</v>
      </c>
      <c r="AO33" s="106" t="s">
        <v>58</v>
      </c>
      <c r="AP33" s="103" t="s">
        <v>57</v>
      </c>
      <c r="AQ33" s="104" t="s">
        <v>55</v>
      </c>
      <c r="AR33" s="106" t="s">
        <v>58</v>
      </c>
      <c r="AS33" s="106" t="s">
        <v>55</v>
      </c>
      <c r="AT33" s="103" t="s">
        <v>56</v>
      </c>
      <c r="AU33" s="104" t="s">
        <v>55</v>
      </c>
      <c r="AV33" s="106" t="s">
        <v>58</v>
      </c>
      <c r="AW33" s="106" t="s">
        <v>55</v>
      </c>
      <c r="AX33" s="103" t="s">
        <v>60</v>
      </c>
      <c r="AY33" s="104" t="s">
        <v>56</v>
      </c>
      <c r="AZ33" s="407"/>
      <c r="BA33" s="407"/>
      <c r="BB33" s="368"/>
      <c r="BC33" s="369"/>
      <c r="BD33" s="106" t="s">
        <v>57</v>
      </c>
      <c r="BE33" s="106" t="s">
        <v>57</v>
      </c>
      <c r="BF33" s="103" t="s">
        <v>60</v>
      </c>
      <c r="BG33" s="104" t="s">
        <v>58</v>
      </c>
      <c r="BH33" s="106" t="s">
        <v>55</v>
      </c>
      <c r="BI33" s="106" t="s">
        <v>57</v>
      </c>
      <c r="BJ33" s="417"/>
      <c r="BK33" s="418"/>
      <c r="BL33" s="106" t="s">
        <v>59</v>
      </c>
      <c r="BM33" s="106" t="s">
        <v>57</v>
      </c>
      <c r="BN33" s="103" t="s">
        <v>59</v>
      </c>
      <c r="BO33" s="104" t="s">
        <v>55</v>
      </c>
      <c r="BP33" s="106" t="s">
        <v>56</v>
      </c>
      <c r="BQ33" s="106" t="s">
        <v>56</v>
      </c>
      <c r="BR33" s="103" t="s">
        <v>56</v>
      </c>
      <c r="BS33" s="104" t="s">
        <v>55</v>
      </c>
      <c r="BT33" s="106" t="s">
        <v>57</v>
      </c>
      <c r="BU33" s="106" t="s">
        <v>59</v>
      </c>
      <c r="BV33" s="103" t="s">
        <v>55</v>
      </c>
      <c r="BW33" s="104" t="s">
        <v>56</v>
      </c>
      <c r="BX33" s="106" t="s">
        <v>59</v>
      </c>
      <c r="BY33" s="106" t="s">
        <v>56</v>
      </c>
      <c r="BZ33" s="368"/>
      <c r="CA33" s="369"/>
      <c r="CB33" s="106"/>
      <c r="CC33" s="106"/>
      <c r="CD33" s="103"/>
      <c r="CE33" s="104"/>
      <c r="CF33" s="106"/>
      <c r="CG33" s="104"/>
      <c r="CH33" s="103"/>
      <c r="CI33" s="104"/>
      <c r="CJ33" s="106"/>
      <c r="CK33" s="104"/>
      <c r="CL33" s="103"/>
      <c r="CM33" s="104"/>
      <c r="CN33" s="106"/>
      <c r="CO33" s="104"/>
    </row>
    <row r="34" spans="1:93" ht="18.75" customHeight="1" thickTop="1">
      <c r="A34" s="285">
        <f t="shared" si="2"/>
        <v>60</v>
      </c>
      <c r="B34" s="421">
        <v>60</v>
      </c>
      <c r="C34" s="422"/>
      <c r="D34" s="26"/>
      <c r="E34" s="102"/>
      <c r="F34" s="26"/>
      <c r="G34" s="102"/>
      <c r="H34" s="26"/>
      <c r="I34" s="102"/>
      <c r="J34" s="26"/>
      <c r="K34" s="102"/>
      <c r="L34" s="26"/>
      <c r="M34" s="26"/>
      <c r="N34" s="101"/>
      <c r="O34" s="102"/>
      <c r="P34" s="26"/>
      <c r="Q34" s="26"/>
      <c r="R34" s="101"/>
      <c r="S34" s="102"/>
      <c r="T34" s="26"/>
      <c r="U34" s="26"/>
      <c r="V34" s="353" t="s">
        <v>107</v>
      </c>
      <c r="W34" s="354"/>
      <c r="X34" s="359"/>
      <c r="Y34" s="360"/>
      <c r="Z34" s="101"/>
      <c r="AA34" s="102"/>
      <c r="AB34" s="26" t="s">
        <v>59</v>
      </c>
      <c r="AC34" s="26" t="s">
        <v>58</v>
      </c>
      <c r="AD34" s="101" t="s">
        <v>59</v>
      </c>
      <c r="AE34" s="102" t="s">
        <v>57</v>
      </c>
      <c r="AF34" s="413" t="s">
        <v>83</v>
      </c>
      <c r="AG34" s="414"/>
      <c r="AH34" s="101" t="s">
        <v>59</v>
      </c>
      <c r="AI34" s="102" t="s">
        <v>57</v>
      </c>
      <c r="AJ34" s="26" t="s">
        <v>54</v>
      </c>
      <c r="AK34" s="26" t="s">
        <v>58</v>
      </c>
      <c r="AL34" s="408" t="s">
        <v>19</v>
      </c>
      <c r="AM34" s="409"/>
      <c r="AN34" s="26" t="s">
        <v>60</v>
      </c>
      <c r="AO34" s="26" t="s">
        <v>58</v>
      </c>
      <c r="AP34" s="408" t="s">
        <v>49</v>
      </c>
      <c r="AQ34" s="409"/>
      <c r="AR34" s="26" t="s">
        <v>59</v>
      </c>
      <c r="AS34" s="26" t="s">
        <v>58</v>
      </c>
      <c r="AT34" s="411"/>
      <c r="AU34" s="412"/>
      <c r="AV34" s="26" t="s">
        <v>58</v>
      </c>
      <c r="AW34" s="26" t="s">
        <v>60</v>
      </c>
      <c r="AX34" s="101" t="s">
        <v>54</v>
      </c>
      <c r="AY34" s="102" t="s">
        <v>60</v>
      </c>
      <c r="AZ34" s="26" t="s">
        <v>54</v>
      </c>
      <c r="BA34" s="26" t="s">
        <v>59</v>
      </c>
      <c r="BB34" s="101" t="s">
        <v>59</v>
      </c>
      <c r="BC34" s="102" t="s">
        <v>58</v>
      </c>
      <c r="BD34" s="26" t="s">
        <v>58</v>
      </c>
      <c r="BE34" s="26" t="s">
        <v>60</v>
      </c>
      <c r="BF34" s="101" t="s">
        <v>58</v>
      </c>
      <c r="BG34" s="102" t="s">
        <v>60</v>
      </c>
      <c r="BH34" s="413" t="s">
        <v>52</v>
      </c>
      <c r="BI34" s="414"/>
      <c r="BJ34" s="101" t="s">
        <v>60</v>
      </c>
      <c r="BK34" s="102" t="s">
        <v>59</v>
      </c>
      <c r="BL34" s="379"/>
      <c r="BM34" s="380"/>
      <c r="BN34" s="363" t="s">
        <v>78</v>
      </c>
      <c r="BO34" s="367"/>
      <c r="BP34" s="26" t="s">
        <v>58</v>
      </c>
      <c r="BQ34" s="26" t="s">
        <v>60</v>
      </c>
      <c r="BR34" s="101" t="s">
        <v>54</v>
      </c>
      <c r="BS34" s="102" t="s">
        <v>58</v>
      </c>
      <c r="BT34" s="26" t="s">
        <v>54</v>
      </c>
      <c r="BU34" s="26" t="s">
        <v>58</v>
      </c>
      <c r="BV34" s="101" t="s">
        <v>54</v>
      </c>
      <c r="BW34" s="102" t="s">
        <v>59</v>
      </c>
      <c r="BX34" s="26" t="s">
        <v>58</v>
      </c>
      <c r="BY34" s="26" t="s">
        <v>60</v>
      </c>
      <c r="BZ34" s="101" t="s">
        <v>54</v>
      </c>
      <c r="CA34" s="102" t="s">
        <v>60</v>
      </c>
      <c r="CB34" s="387"/>
      <c r="CC34" s="388"/>
      <c r="CD34" s="101"/>
      <c r="CE34" s="102"/>
      <c r="CF34" s="26"/>
      <c r="CG34" s="102"/>
      <c r="CH34" s="101"/>
      <c r="CI34" s="102"/>
      <c r="CJ34" s="26"/>
      <c r="CK34" s="102"/>
      <c r="CL34" s="101"/>
      <c r="CM34" s="102"/>
      <c r="CN34" s="26"/>
      <c r="CO34" s="102"/>
    </row>
    <row r="35" spans="1:93" ht="18.75" customHeight="1" thickBot="1">
      <c r="A35" s="285">
        <f t="shared" si="2"/>
        <v>60</v>
      </c>
      <c r="B35" s="423"/>
      <c r="C35" s="424"/>
      <c r="D35" s="26"/>
      <c r="E35" s="102"/>
      <c r="F35" s="26"/>
      <c r="G35" s="102"/>
      <c r="H35" s="26"/>
      <c r="I35" s="102"/>
      <c r="J35" s="26"/>
      <c r="K35" s="102"/>
      <c r="L35" s="26"/>
      <c r="M35" s="26"/>
      <c r="N35" s="101"/>
      <c r="O35" s="102"/>
      <c r="P35" s="26"/>
      <c r="Q35" s="26"/>
      <c r="R35" s="101"/>
      <c r="S35" s="102"/>
      <c r="T35" s="26"/>
      <c r="U35" s="26"/>
      <c r="V35" s="355"/>
      <c r="W35" s="356"/>
      <c r="X35" s="361"/>
      <c r="Y35" s="362"/>
      <c r="Z35" s="101"/>
      <c r="AA35" s="102"/>
      <c r="AB35" s="26" t="s">
        <v>58</v>
      </c>
      <c r="AC35" s="26" t="s">
        <v>55</v>
      </c>
      <c r="AD35" s="101" t="s">
        <v>58</v>
      </c>
      <c r="AE35" s="102" t="s">
        <v>56</v>
      </c>
      <c r="AF35" s="414"/>
      <c r="AG35" s="414"/>
      <c r="AH35" s="101" t="s">
        <v>57</v>
      </c>
      <c r="AI35" s="102" t="s">
        <v>56</v>
      </c>
      <c r="AJ35" s="26" t="s">
        <v>56</v>
      </c>
      <c r="AK35" s="26" t="s">
        <v>55</v>
      </c>
      <c r="AL35" s="410"/>
      <c r="AM35" s="409"/>
      <c r="AN35" s="26" t="s">
        <v>55</v>
      </c>
      <c r="AO35" s="26" t="s">
        <v>57</v>
      </c>
      <c r="AP35" s="410"/>
      <c r="AQ35" s="409"/>
      <c r="AR35" s="26" t="s">
        <v>60</v>
      </c>
      <c r="AS35" s="26" t="s">
        <v>57</v>
      </c>
      <c r="AT35" s="411"/>
      <c r="AU35" s="412"/>
      <c r="AV35" s="26" t="s">
        <v>56</v>
      </c>
      <c r="AW35" s="26" t="s">
        <v>55</v>
      </c>
      <c r="AX35" s="101" t="s">
        <v>59</v>
      </c>
      <c r="AY35" s="102" t="s">
        <v>57</v>
      </c>
      <c r="AZ35" s="26" t="s">
        <v>55</v>
      </c>
      <c r="BA35" s="26" t="s">
        <v>56</v>
      </c>
      <c r="BB35" s="101" t="s">
        <v>57</v>
      </c>
      <c r="BC35" s="102" t="s">
        <v>57</v>
      </c>
      <c r="BD35" s="26" t="s">
        <v>55</v>
      </c>
      <c r="BE35" s="26" t="s">
        <v>57</v>
      </c>
      <c r="BF35" s="101" t="s">
        <v>59</v>
      </c>
      <c r="BG35" s="102" t="s">
        <v>56</v>
      </c>
      <c r="BH35" s="414"/>
      <c r="BI35" s="414"/>
      <c r="BJ35" s="101" t="s">
        <v>55</v>
      </c>
      <c r="BK35" s="102" t="s">
        <v>57</v>
      </c>
      <c r="BL35" s="381"/>
      <c r="BM35" s="382"/>
      <c r="BN35" s="368"/>
      <c r="BO35" s="369"/>
      <c r="BP35" s="26" t="s">
        <v>55</v>
      </c>
      <c r="BQ35" s="26" t="s">
        <v>57</v>
      </c>
      <c r="BR35" s="101" t="s">
        <v>59</v>
      </c>
      <c r="BS35" s="102" t="s">
        <v>59</v>
      </c>
      <c r="BT35" s="26" t="s">
        <v>59</v>
      </c>
      <c r="BU35" s="26" t="s">
        <v>56</v>
      </c>
      <c r="BV35" s="101" t="s">
        <v>57</v>
      </c>
      <c r="BW35" s="102" t="s">
        <v>55</v>
      </c>
      <c r="BX35" s="26" t="s">
        <v>56</v>
      </c>
      <c r="BY35" s="26" t="s">
        <v>55</v>
      </c>
      <c r="BZ35" s="101" t="s">
        <v>55</v>
      </c>
      <c r="CA35" s="102" t="s">
        <v>55</v>
      </c>
      <c r="CB35" s="389"/>
      <c r="CC35" s="390"/>
      <c r="CD35" s="101"/>
      <c r="CE35" s="102"/>
      <c r="CF35" s="26"/>
      <c r="CG35" s="102"/>
      <c r="CH35" s="101"/>
      <c r="CI35" s="102"/>
      <c r="CJ35" s="26"/>
      <c r="CK35" s="102"/>
      <c r="CL35" s="101"/>
      <c r="CM35" s="102"/>
      <c r="CN35" s="26"/>
      <c r="CO35" s="102"/>
    </row>
    <row r="36" spans="1:93" ht="18.75" customHeight="1" thickTop="1">
      <c r="A36" s="285">
        <f t="shared" si="2"/>
        <v>59</v>
      </c>
      <c r="B36" s="421">
        <v>59</v>
      </c>
      <c r="C36" s="422"/>
      <c r="D36" s="105"/>
      <c r="E36" s="100"/>
      <c r="F36" s="105"/>
      <c r="G36" s="100"/>
      <c r="H36" s="105"/>
      <c r="I36" s="100"/>
      <c r="J36" s="105"/>
      <c r="K36" s="100"/>
      <c r="L36" s="105"/>
      <c r="M36" s="105"/>
      <c r="N36" s="99"/>
      <c r="O36" s="100"/>
      <c r="P36" s="105"/>
      <c r="Q36" s="105"/>
      <c r="R36" s="99"/>
      <c r="S36" s="100"/>
      <c r="T36" s="105"/>
      <c r="U36" s="105"/>
      <c r="V36" s="99"/>
      <c r="W36" s="100"/>
      <c r="X36" s="353" t="s">
        <v>108</v>
      </c>
      <c r="Y36" s="354"/>
      <c r="Z36" s="99"/>
      <c r="AA36" s="100"/>
      <c r="AB36" s="105" t="s">
        <v>57</v>
      </c>
      <c r="AC36" s="105" t="s">
        <v>57</v>
      </c>
      <c r="AD36" s="99" t="s">
        <v>57</v>
      </c>
      <c r="AE36" s="100" t="s">
        <v>57</v>
      </c>
      <c r="AF36" s="105" t="s">
        <v>54</v>
      </c>
      <c r="AG36" s="105" t="s">
        <v>55</v>
      </c>
      <c r="AH36" s="99" t="s">
        <v>57</v>
      </c>
      <c r="AI36" s="100" t="s">
        <v>56</v>
      </c>
      <c r="AJ36" s="105" t="s">
        <v>54</v>
      </c>
      <c r="AK36" s="105" t="s">
        <v>60</v>
      </c>
      <c r="AL36" s="379"/>
      <c r="AM36" s="380"/>
      <c r="AN36" s="105" t="s">
        <v>55</v>
      </c>
      <c r="AO36" s="105" t="s">
        <v>58</v>
      </c>
      <c r="AP36" s="363" t="s">
        <v>102</v>
      </c>
      <c r="AQ36" s="367"/>
      <c r="AR36" s="377"/>
      <c r="AS36" s="377"/>
      <c r="AT36" s="99" t="s">
        <v>54</v>
      </c>
      <c r="AU36" s="100" t="s">
        <v>60</v>
      </c>
      <c r="AV36" s="105" t="s">
        <v>54</v>
      </c>
      <c r="AW36" s="105" t="s">
        <v>60</v>
      </c>
      <c r="AX36" s="99" t="s">
        <v>54</v>
      </c>
      <c r="AY36" s="100" t="s">
        <v>58</v>
      </c>
      <c r="AZ36" s="105" t="s">
        <v>60</v>
      </c>
      <c r="BA36" s="105" t="s">
        <v>57</v>
      </c>
      <c r="BB36" s="99" t="s">
        <v>54</v>
      </c>
      <c r="BC36" s="100" t="s">
        <v>60</v>
      </c>
      <c r="BD36" s="105" t="s">
        <v>59</v>
      </c>
      <c r="BE36" s="105" t="s">
        <v>56</v>
      </c>
      <c r="BF36" s="99" t="s">
        <v>58</v>
      </c>
      <c r="BG36" s="100" t="s">
        <v>56</v>
      </c>
      <c r="BH36" s="105" t="s">
        <v>54</v>
      </c>
      <c r="BI36" s="105" t="s">
        <v>60</v>
      </c>
      <c r="BJ36" s="99" t="s">
        <v>60</v>
      </c>
      <c r="BK36" s="100" t="s">
        <v>60</v>
      </c>
      <c r="BL36" s="105" t="s">
        <v>54</v>
      </c>
      <c r="BM36" s="105" t="s">
        <v>60</v>
      </c>
      <c r="BN36" s="99" t="s">
        <v>54</v>
      </c>
      <c r="BO36" s="100" t="s">
        <v>58</v>
      </c>
      <c r="BP36" s="363" t="s">
        <v>91</v>
      </c>
      <c r="BQ36" s="367"/>
      <c r="BR36" s="99" t="s">
        <v>60</v>
      </c>
      <c r="BS36" s="100" t="s">
        <v>60</v>
      </c>
      <c r="BT36" s="105" t="s">
        <v>54</v>
      </c>
      <c r="BU36" s="105" t="s">
        <v>60</v>
      </c>
      <c r="BV36" s="99" t="s">
        <v>60</v>
      </c>
      <c r="BW36" s="100" t="s">
        <v>60</v>
      </c>
      <c r="BX36" s="105"/>
      <c r="BY36" s="105"/>
      <c r="BZ36" s="99"/>
      <c r="CA36" s="100"/>
      <c r="CB36" s="105"/>
      <c r="CC36" s="105"/>
      <c r="CD36" s="99"/>
      <c r="CE36" s="100"/>
      <c r="CF36" s="105"/>
      <c r="CG36" s="100"/>
      <c r="CH36" s="152"/>
      <c r="CI36" s="100"/>
      <c r="CJ36" s="105"/>
      <c r="CK36" s="100"/>
      <c r="CL36" s="152"/>
      <c r="CM36" s="100"/>
      <c r="CN36" s="105"/>
      <c r="CO36" s="100"/>
    </row>
    <row r="37" spans="1:93" ht="18.75" customHeight="1" thickBot="1">
      <c r="A37" s="285">
        <f t="shared" si="2"/>
        <v>59</v>
      </c>
      <c r="B37" s="423"/>
      <c r="C37" s="424"/>
      <c r="D37" s="106"/>
      <c r="E37" s="104"/>
      <c r="F37" s="106"/>
      <c r="G37" s="104"/>
      <c r="H37" s="106"/>
      <c r="I37" s="104"/>
      <c r="J37" s="106"/>
      <c r="K37" s="104"/>
      <c r="L37" s="106"/>
      <c r="M37" s="106"/>
      <c r="N37" s="103"/>
      <c r="O37" s="104"/>
      <c r="P37" s="106"/>
      <c r="Q37" s="106"/>
      <c r="R37" s="103"/>
      <c r="S37" s="104"/>
      <c r="T37" s="106"/>
      <c r="U37" s="106"/>
      <c r="V37" s="103"/>
      <c r="W37" s="104"/>
      <c r="X37" s="355"/>
      <c r="Y37" s="356"/>
      <c r="Z37" s="103"/>
      <c r="AA37" s="104"/>
      <c r="AB37" s="106" t="s">
        <v>58</v>
      </c>
      <c r="AC37" s="106" t="s">
        <v>59</v>
      </c>
      <c r="AD37" s="103" t="s">
        <v>54</v>
      </c>
      <c r="AE37" s="104" t="s">
        <v>60</v>
      </c>
      <c r="AF37" s="26" t="s">
        <v>55</v>
      </c>
      <c r="AG37" s="26" t="s">
        <v>58</v>
      </c>
      <c r="AH37" s="103" t="s">
        <v>55</v>
      </c>
      <c r="AI37" s="104" t="s">
        <v>57</v>
      </c>
      <c r="AJ37" s="106" t="s">
        <v>59</v>
      </c>
      <c r="AK37" s="106" t="s">
        <v>58</v>
      </c>
      <c r="AL37" s="381"/>
      <c r="AM37" s="382"/>
      <c r="AN37" s="106" t="s">
        <v>57</v>
      </c>
      <c r="AO37" s="106" t="s">
        <v>56</v>
      </c>
      <c r="AP37" s="368"/>
      <c r="AQ37" s="369"/>
      <c r="AR37" s="378"/>
      <c r="AS37" s="378"/>
      <c r="AT37" s="103" t="s">
        <v>57</v>
      </c>
      <c r="AU37" s="104" t="s">
        <v>55</v>
      </c>
      <c r="AV37" s="106" t="s">
        <v>57</v>
      </c>
      <c r="AW37" s="106" t="s">
        <v>55</v>
      </c>
      <c r="AX37" s="103" t="s">
        <v>56</v>
      </c>
      <c r="AY37" s="104" t="s">
        <v>55</v>
      </c>
      <c r="AZ37" s="106" t="s">
        <v>55</v>
      </c>
      <c r="BA37" s="106" t="s">
        <v>56</v>
      </c>
      <c r="BB37" s="103" t="s">
        <v>58</v>
      </c>
      <c r="BC37" s="104" t="s">
        <v>59</v>
      </c>
      <c r="BD37" s="106" t="s">
        <v>55</v>
      </c>
      <c r="BE37" s="106" t="s">
        <v>55</v>
      </c>
      <c r="BF37" s="103" t="s">
        <v>59</v>
      </c>
      <c r="BG37" s="104" t="s">
        <v>59</v>
      </c>
      <c r="BH37" s="106" t="s">
        <v>59</v>
      </c>
      <c r="BI37" s="106" t="s">
        <v>55</v>
      </c>
      <c r="BJ37" s="103" t="s">
        <v>59</v>
      </c>
      <c r="BK37" s="104" t="s">
        <v>55</v>
      </c>
      <c r="BL37" s="106" t="s">
        <v>57</v>
      </c>
      <c r="BM37" s="106" t="s">
        <v>56</v>
      </c>
      <c r="BN37" s="103" t="s">
        <v>60</v>
      </c>
      <c r="BO37" s="104" t="s">
        <v>60</v>
      </c>
      <c r="BP37" s="368"/>
      <c r="BQ37" s="369"/>
      <c r="BR37" s="103" t="s">
        <v>57</v>
      </c>
      <c r="BS37" s="104" t="s">
        <v>55</v>
      </c>
      <c r="BT37" s="106" t="s">
        <v>59</v>
      </c>
      <c r="BU37" s="106" t="s">
        <v>56</v>
      </c>
      <c r="BV37" s="103" t="s">
        <v>58</v>
      </c>
      <c r="BW37" s="104" t="s">
        <v>59</v>
      </c>
      <c r="BX37" s="106"/>
      <c r="BY37" s="106"/>
      <c r="BZ37" s="103"/>
      <c r="CA37" s="104"/>
      <c r="CB37" s="106"/>
      <c r="CC37" s="106"/>
      <c r="CD37" s="103"/>
      <c r="CE37" s="104"/>
      <c r="CF37" s="106"/>
      <c r="CG37" s="104"/>
      <c r="CH37" s="103"/>
      <c r="CI37" s="104"/>
      <c r="CJ37" s="106"/>
      <c r="CK37" s="104"/>
      <c r="CL37" s="103"/>
      <c r="CM37" s="104"/>
      <c r="CN37" s="106"/>
      <c r="CO37" s="104"/>
    </row>
    <row r="38" spans="1:93" ht="18.75" customHeight="1" thickTop="1">
      <c r="A38" s="285">
        <f t="shared" si="2"/>
        <v>58</v>
      </c>
      <c r="B38" s="421">
        <v>58</v>
      </c>
      <c r="C38" s="422"/>
      <c r="D38" s="26"/>
      <c r="E38" s="102"/>
      <c r="F38" s="26"/>
      <c r="G38" s="102"/>
      <c r="H38" s="26"/>
      <c r="I38" s="102"/>
      <c r="J38" s="26"/>
      <c r="K38" s="102"/>
      <c r="L38" s="26"/>
      <c r="M38" s="26"/>
      <c r="N38" s="101"/>
      <c r="O38" s="102"/>
      <c r="P38" s="26"/>
      <c r="Q38" s="26"/>
      <c r="R38" s="101"/>
      <c r="S38" s="102"/>
      <c r="T38" s="26"/>
      <c r="U38" s="26"/>
      <c r="V38" s="101"/>
      <c r="W38" s="102"/>
      <c r="X38" s="26"/>
      <c r="Y38" s="26"/>
      <c r="Z38" s="353" t="s">
        <v>109</v>
      </c>
      <c r="AA38" s="354"/>
      <c r="AB38" s="26"/>
      <c r="AC38" s="26"/>
      <c r="AD38" s="101"/>
      <c r="AE38" s="26"/>
      <c r="AF38" s="107" t="s">
        <v>56</v>
      </c>
      <c r="AG38" s="108" t="s">
        <v>56</v>
      </c>
      <c r="AH38" s="26" t="s">
        <v>59</v>
      </c>
      <c r="AI38" s="102" t="s">
        <v>56</v>
      </c>
      <c r="AJ38" s="26" t="s">
        <v>60</v>
      </c>
      <c r="AK38" s="26" t="s">
        <v>58</v>
      </c>
      <c r="AL38" s="101" t="s">
        <v>58</v>
      </c>
      <c r="AM38" s="102" t="s">
        <v>56</v>
      </c>
      <c r="AN38" s="26" t="s">
        <v>58</v>
      </c>
      <c r="AO38" s="26" t="s">
        <v>55</v>
      </c>
      <c r="AP38" s="101" t="s">
        <v>60</v>
      </c>
      <c r="AQ38" s="102" t="s">
        <v>55</v>
      </c>
      <c r="AR38" s="26" t="s">
        <v>59</v>
      </c>
      <c r="AS38" s="26" t="s">
        <v>55</v>
      </c>
      <c r="AT38" s="101" t="s">
        <v>58</v>
      </c>
      <c r="AU38" s="102" t="s">
        <v>57</v>
      </c>
      <c r="AV38" s="26" t="s">
        <v>60</v>
      </c>
      <c r="AW38" s="26" t="s">
        <v>59</v>
      </c>
      <c r="AX38" s="363" t="s">
        <v>75</v>
      </c>
      <c r="AY38" s="367"/>
      <c r="AZ38" s="26" t="s">
        <v>60</v>
      </c>
      <c r="BA38" s="26" t="s">
        <v>59</v>
      </c>
      <c r="BB38" s="400" t="s">
        <v>66</v>
      </c>
      <c r="BC38" s="401"/>
      <c r="BD38" s="397"/>
      <c r="BE38" s="397"/>
      <c r="BF38" s="101" t="s">
        <v>54</v>
      </c>
      <c r="BG38" s="102" t="s">
        <v>60</v>
      </c>
      <c r="BH38" s="26" t="s">
        <v>54</v>
      </c>
      <c r="BI38" s="26" t="s">
        <v>58</v>
      </c>
      <c r="BJ38" s="101" t="s">
        <v>54</v>
      </c>
      <c r="BK38" s="102" t="s">
        <v>58</v>
      </c>
      <c r="BL38" s="26" t="s">
        <v>54</v>
      </c>
      <c r="BM38" s="26" t="s">
        <v>60</v>
      </c>
      <c r="BN38" s="101" t="s">
        <v>54</v>
      </c>
      <c r="BO38" s="102" t="s">
        <v>58</v>
      </c>
      <c r="BP38" s="26" t="s">
        <v>60</v>
      </c>
      <c r="BQ38" s="26" t="s">
        <v>57</v>
      </c>
      <c r="BR38" s="363" t="s">
        <v>92</v>
      </c>
      <c r="BS38" s="367"/>
      <c r="BT38" s="26" t="s">
        <v>54</v>
      </c>
      <c r="BU38" s="26" t="s">
        <v>60</v>
      </c>
      <c r="BV38" s="101" t="s">
        <v>58</v>
      </c>
      <c r="BW38" s="102" t="s">
        <v>56</v>
      </c>
      <c r="BX38" s="26"/>
      <c r="BY38" s="26"/>
      <c r="BZ38" s="353" t="s">
        <v>120</v>
      </c>
      <c r="CA38" s="354"/>
      <c r="CB38" s="26"/>
      <c r="CC38" s="26"/>
      <c r="CD38" s="101"/>
      <c r="CE38" s="102"/>
      <c r="CF38" s="26"/>
      <c r="CG38" s="102"/>
      <c r="CH38" s="101"/>
      <c r="CI38" s="102"/>
      <c r="CJ38" s="26"/>
      <c r="CK38" s="102"/>
      <c r="CL38" s="101"/>
      <c r="CM38" s="102"/>
      <c r="CN38" s="26"/>
      <c r="CO38" s="102"/>
    </row>
    <row r="39" spans="1:93" ht="18.75" customHeight="1" thickBot="1">
      <c r="A39" s="285">
        <f t="shared" si="2"/>
        <v>58</v>
      </c>
      <c r="B39" s="423"/>
      <c r="C39" s="424"/>
      <c r="D39" s="26"/>
      <c r="E39" s="102"/>
      <c r="F39" s="26"/>
      <c r="G39" s="102"/>
      <c r="H39" s="26"/>
      <c r="I39" s="102"/>
      <c r="J39" s="26"/>
      <c r="K39" s="102"/>
      <c r="L39" s="26"/>
      <c r="M39" s="26"/>
      <c r="N39" s="101"/>
      <c r="O39" s="102"/>
      <c r="P39" s="26"/>
      <c r="Q39" s="26"/>
      <c r="R39" s="101"/>
      <c r="S39" s="102"/>
      <c r="T39" s="26"/>
      <c r="U39" s="26"/>
      <c r="V39" s="101"/>
      <c r="W39" s="102"/>
      <c r="X39" s="26"/>
      <c r="Y39" s="26"/>
      <c r="Z39" s="355"/>
      <c r="AA39" s="356"/>
      <c r="AB39" s="26"/>
      <c r="AC39" s="26"/>
      <c r="AD39" s="101"/>
      <c r="AE39" s="26"/>
      <c r="AF39" s="109" t="s">
        <v>54</v>
      </c>
      <c r="AG39" s="110" t="s">
        <v>60</v>
      </c>
      <c r="AH39" s="26" t="s">
        <v>54</v>
      </c>
      <c r="AI39" s="102" t="s">
        <v>57</v>
      </c>
      <c r="AJ39" s="26" t="s">
        <v>56</v>
      </c>
      <c r="AK39" s="26" t="s">
        <v>55</v>
      </c>
      <c r="AL39" s="101" t="s">
        <v>55</v>
      </c>
      <c r="AM39" s="102" t="s">
        <v>57</v>
      </c>
      <c r="AN39" s="26" t="s">
        <v>56</v>
      </c>
      <c r="AO39" s="26" t="s">
        <v>57</v>
      </c>
      <c r="AP39" s="101" t="s">
        <v>56</v>
      </c>
      <c r="AQ39" s="102" t="s">
        <v>55</v>
      </c>
      <c r="AR39" s="26" t="s">
        <v>60</v>
      </c>
      <c r="AS39" s="26" t="s">
        <v>57</v>
      </c>
      <c r="AT39" s="101" t="s">
        <v>60</v>
      </c>
      <c r="AU39" s="102" t="s">
        <v>59</v>
      </c>
      <c r="AV39" s="26" t="s">
        <v>55</v>
      </c>
      <c r="AW39" s="26" t="s">
        <v>55</v>
      </c>
      <c r="AX39" s="368"/>
      <c r="AY39" s="369"/>
      <c r="AZ39" s="26" t="s">
        <v>55</v>
      </c>
      <c r="BA39" s="26" t="s">
        <v>57</v>
      </c>
      <c r="BB39" s="400"/>
      <c r="BC39" s="401"/>
      <c r="BD39" s="397"/>
      <c r="BE39" s="397"/>
      <c r="BF39" s="101" t="s">
        <v>56</v>
      </c>
      <c r="BG39" s="102" t="s">
        <v>57</v>
      </c>
      <c r="BH39" s="26" t="s">
        <v>56</v>
      </c>
      <c r="BI39" s="26" t="s">
        <v>55</v>
      </c>
      <c r="BJ39" s="101" t="s">
        <v>60</v>
      </c>
      <c r="BK39" s="102" t="s">
        <v>56</v>
      </c>
      <c r="BL39" s="26" t="s">
        <v>56</v>
      </c>
      <c r="BM39" s="26" t="s">
        <v>55</v>
      </c>
      <c r="BN39" s="101" t="s">
        <v>55</v>
      </c>
      <c r="BO39" s="102" t="s">
        <v>56</v>
      </c>
      <c r="BP39" s="26" t="s">
        <v>56</v>
      </c>
      <c r="BQ39" s="26" t="s">
        <v>59</v>
      </c>
      <c r="BR39" s="368"/>
      <c r="BS39" s="369"/>
      <c r="BT39" s="26" t="s">
        <v>56</v>
      </c>
      <c r="BU39" s="26" t="s">
        <v>59</v>
      </c>
      <c r="BV39" s="101" t="s">
        <v>59</v>
      </c>
      <c r="BW39" s="102" t="s">
        <v>59</v>
      </c>
      <c r="BX39" s="26"/>
      <c r="BY39" s="26"/>
      <c r="BZ39" s="355"/>
      <c r="CA39" s="356"/>
      <c r="CB39" s="26"/>
      <c r="CC39" s="26"/>
      <c r="CD39" s="101"/>
      <c r="CE39" s="102"/>
      <c r="CF39" s="26"/>
      <c r="CG39" s="102"/>
      <c r="CH39" s="101"/>
      <c r="CI39" s="102"/>
      <c r="CJ39" s="26"/>
      <c r="CK39" s="102"/>
      <c r="CL39" s="101"/>
      <c r="CM39" s="102"/>
      <c r="CN39" s="26"/>
      <c r="CO39" s="102"/>
    </row>
    <row r="40" spans="1:93" ht="18.75" customHeight="1" thickTop="1">
      <c r="A40" s="285">
        <f t="shared" si="2"/>
        <v>57</v>
      </c>
      <c r="B40" s="421">
        <v>57</v>
      </c>
      <c r="C40" s="422"/>
      <c r="D40" s="105"/>
      <c r="E40" s="100"/>
      <c r="F40" s="105"/>
      <c r="G40" s="100"/>
      <c r="H40" s="105"/>
      <c r="I40" s="100"/>
      <c r="J40" s="105"/>
      <c r="K40" s="100"/>
      <c r="L40" s="105"/>
      <c r="M40" s="105"/>
      <c r="N40" s="99"/>
      <c r="O40" s="100"/>
      <c r="P40" s="105"/>
      <c r="Q40" s="105"/>
      <c r="R40" s="99"/>
      <c r="S40" s="100"/>
      <c r="T40" s="105"/>
      <c r="U40" s="105"/>
      <c r="V40" s="99"/>
      <c r="W40" s="100"/>
      <c r="X40" s="105"/>
      <c r="Y40" s="105"/>
      <c r="Z40" s="99"/>
      <c r="AA40" s="100"/>
      <c r="AB40" s="105"/>
      <c r="AC40" s="105"/>
      <c r="AD40" s="99"/>
      <c r="AE40" s="100"/>
      <c r="AF40" s="357" t="s">
        <v>110</v>
      </c>
      <c r="AG40" s="358"/>
      <c r="AH40" s="99"/>
      <c r="AI40" s="100"/>
      <c r="AJ40" s="105"/>
      <c r="AK40" s="105"/>
      <c r="AL40" s="99" t="s">
        <v>54</v>
      </c>
      <c r="AM40" s="100" t="s">
        <v>58</v>
      </c>
      <c r="AN40" s="105" t="s">
        <v>55</v>
      </c>
      <c r="AO40" s="105" t="s">
        <v>57</v>
      </c>
      <c r="AP40" s="379"/>
      <c r="AQ40" s="380"/>
      <c r="AR40" s="105"/>
      <c r="AS40" s="105"/>
      <c r="AT40" s="99"/>
      <c r="AU40" s="100"/>
      <c r="AV40" s="105" t="s">
        <v>54</v>
      </c>
      <c r="AW40" s="105" t="s">
        <v>58</v>
      </c>
      <c r="AX40" s="99" t="s">
        <v>60</v>
      </c>
      <c r="AY40" s="100" t="s">
        <v>57</v>
      </c>
      <c r="AZ40" s="105" t="s">
        <v>58</v>
      </c>
      <c r="BA40" s="105" t="s">
        <v>60</v>
      </c>
      <c r="BB40" s="99" t="s">
        <v>54</v>
      </c>
      <c r="BC40" s="100" t="s">
        <v>58</v>
      </c>
      <c r="BD40" s="105" t="s">
        <v>54</v>
      </c>
      <c r="BE40" s="105" t="s">
        <v>58</v>
      </c>
      <c r="BF40" s="363" t="s">
        <v>51</v>
      </c>
      <c r="BG40" s="367"/>
      <c r="BH40" s="377"/>
      <c r="BI40" s="377"/>
      <c r="BJ40" s="99" t="s">
        <v>58</v>
      </c>
      <c r="BK40" s="100" t="s">
        <v>60</v>
      </c>
      <c r="BL40" s="105" t="s">
        <v>60</v>
      </c>
      <c r="BM40" s="105" t="s">
        <v>57</v>
      </c>
      <c r="BN40" s="363" t="s">
        <v>32</v>
      </c>
      <c r="BO40" s="367"/>
      <c r="BP40" s="105" t="s">
        <v>54</v>
      </c>
      <c r="BQ40" s="105" t="s">
        <v>58</v>
      </c>
      <c r="BR40" s="99" t="s">
        <v>54</v>
      </c>
      <c r="BS40" s="100" t="s">
        <v>60</v>
      </c>
      <c r="BT40" s="105" t="s">
        <v>58</v>
      </c>
      <c r="BU40" s="105" t="s">
        <v>58</v>
      </c>
      <c r="BV40" s="99"/>
      <c r="BW40" s="100"/>
      <c r="BX40" s="105"/>
      <c r="BY40" s="105"/>
      <c r="BZ40" s="99"/>
      <c r="CA40" s="100"/>
      <c r="CB40" s="105"/>
      <c r="CC40" s="105"/>
      <c r="CD40" s="99"/>
      <c r="CE40" s="100"/>
      <c r="CF40" s="105"/>
      <c r="CG40" s="100"/>
      <c r="CH40" s="152"/>
      <c r="CI40" s="100"/>
      <c r="CJ40" s="105"/>
      <c r="CK40" s="100"/>
      <c r="CL40" s="152"/>
      <c r="CM40" s="100"/>
      <c r="CN40" s="105"/>
      <c r="CO40" s="100"/>
    </row>
    <row r="41" spans="1:93" ht="18.75" customHeight="1" thickBot="1">
      <c r="A41" s="285">
        <f t="shared" si="2"/>
        <v>57</v>
      </c>
      <c r="B41" s="423"/>
      <c r="C41" s="424"/>
      <c r="D41" s="106"/>
      <c r="E41" s="104"/>
      <c r="F41" s="106"/>
      <c r="G41" s="104"/>
      <c r="H41" s="106"/>
      <c r="I41" s="104"/>
      <c r="J41" s="106"/>
      <c r="K41" s="104"/>
      <c r="L41" s="106"/>
      <c r="M41" s="106"/>
      <c r="N41" s="103"/>
      <c r="O41" s="104"/>
      <c r="P41" s="106"/>
      <c r="Q41" s="106"/>
      <c r="R41" s="103"/>
      <c r="S41" s="104"/>
      <c r="T41" s="106"/>
      <c r="U41" s="106"/>
      <c r="V41" s="103"/>
      <c r="W41" s="104"/>
      <c r="X41" s="106"/>
      <c r="Y41" s="106"/>
      <c r="Z41" s="103"/>
      <c r="AA41" s="104"/>
      <c r="AB41" s="106"/>
      <c r="AC41" s="106"/>
      <c r="AD41" s="103"/>
      <c r="AE41" s="104"/>
      <c r="AF41" s="355"/>
      <c r="AG41" s="356"/>
      <c r="AH41" s="103"/>
      <c r="AI41" s="104"/>
      <c r="AJ41" s="106"/>
      <c r="AK41" s="106"/>
      <c r="AL41" s="103" t="s">
        <v>57</v>
      </c>
      <c r="AM41" s="104" t="s">
        <v>56</v>
      </c>
      <c r="AN41" s="106" t="s">
        <v>59</v>
      </c>
      <c r="AO41" s="106" t="s">
        <v>60</v>
      </c>
      <c r="AP41" s="381"/>
      <c r="AQ41" s="382"/>
      <c r="AR41" s="106"/>
      <c r="AS41" s="106"/>
      <c r="AT41" s="103"/>
      <c r="AU41" s="104"/>
      <c r="AV41" s="106" t="s">
        <v>59</v>
      </c>
      <c r="AW41" s="106" t="s">
        <v>55</v>
      </c>
      <c r="AX41" s="103" t="s">
        <v>55</v>
      </c>
      <c r="AY41" s="104" t="s">
        <v>55</v>
      </c>
      <c r="AZ41" s="106" t="s">
        <v>57</v>
      </c>
      <c r="BA41" s="106" t="s">
        <v>57</v>
      </c>
      <c r="BB41" s="103" t="s">
        <v>57</v>
      </c>
      <c r="BC41" s="104" t="s">
        <v>55</v>
      </c>
      <c r="BD41" s="106" t="s">
        <v>60</v>
      </c>
      <c r="BE41" s="106" t="s">
        <v>55</v>
      </c>
      <c r="BF41" s="368"/>
      <c r="BG41" s="369"/>
      <c r="BH41" s="378"/>
      <c r="BI41" s="378"/>
      <c r="BJ41" s="103" t="s">
        <v>56</v>
      </c>
      <c r="BK41" s="104" t="s">
        <v>56</v>
      </c>
      <c r="BL41" s="106" t="s">
        <v>56</v>
      </c>
      <c r="BM41" s="106" t="s">
        <v>59</v>
      </c>
      <c r="BN41" s="368"/>
      <c r="BO41" s="369"/>
      <c r="BP41" s="106" t="s">
        <v>59</v>
      </c>
      <c r="BQ41" s="106" t="s">
        <v>56</v>
      </c>
      <c r="BR41" s="103" t="s">
        <v>58</v>
      </c>
      <c r="BS41" s="104" t="s">
        <v>58</v>
      </c>
      <c r="BT41" s="106" t="s">
        <v>60</v>
      </c>
      <c r="BU41" s="106" t="s">
        <v>55</v>
      </c>
      <c r="BV41" s="103"/>
      <c r="BW41" s="104"/>
      <c r="BX41" s="106"/>
      <c r="BY41" s="106"/>
      <c r="BZ41" s="103"/>
      <c r="CA41" s="104"/>
      <c r="CB41" s="106"/>
      <c r="CC41" s="106"/>
      <c r="CD41" s="103"/>
      <c r="CE41" s="104"/>
      <c r="CF41" s="106"/>
      <c r="CG41" s="104"/>
      <c r="CH41" s="103"/>
      <c r="CI41" s="104"/>
      <c r="CJ41" s="106"/>
      <c r="CK41" s="104"/>
      <c r="CL41" s="103"/>
      <c r="CM41" s="104"/>
      <c r="CN41" s="106"/>
      <c r="CO41" s="104"/>
    </row>
    <row r="42" spans="1:93" ht="18.75" customHeight="1" thickTop="1">
      <c r="A42" s="285">
        <f t="shared" si="2"/>
        <v>56</v>
      </c>
      <c r="B42" s="421">
        <v>56</v>
      </c>
      <c r="C42" s="422"/>
      <c r="D42" s="26"/>
      <c r="E42" s="102"/>
      <c r="F42" s="26"/>
      <c r="G42" s="102"/>
      <c r="H42" s="26"/>
      <c r="I42" s="102"/>
      <c r="J42" s="26"/>
      <c r="K42" s="102"/>
      <c r="L42" s="26"/>
      <c r="M42" s="26"/>
      <c r="N42" s="101"/>
      <c r="O42" s="102"/>
      <c r="P42" s="26"/>
      <c r="Q42" s="26"/>
      <c r="R42" s="101"/>
      <c r="S42" s="102"/>
      <c r="T42" s="26"/>
      <c r="U42" s="26"/>
      <c r="V42" s="101"/>
      <c r="W42" s="102"/>
      <c r="X42" s="26"/>
      <c r="Y42" s="26"/>
      <c r="Z42" s="101"/>
      <c r="AA42" s="102"/>
      <c r="AB42" s="26"/>
      <c r="AC42" s="26"/>
      <c r="AD42" s="101"/>
      <c r="AE42" s="102"/>
      <c r="AF42" s="26"/>
      <c r="AG42" s="26"/>
      <c r="AH42" s="101"/>
      <c r="AI42" s="102"/>
      <c r="AJ42" s="26"/>
      <c r="AK42" s="26"/>
      <c r="AL42" s="363" t="s">
        <v>112</v>
      </c>
      <c r="AM42" s="367"/>
      <c r="AN42" s="26" t="s">
        <v>60</v>
      </c>
      <c r="AO42" s="26" t="s">
        <v>59</v>
      </c>
      <c r="AP42" s="101" t="s">
        <v>54</v>
      </c>
      <c r="AQ42" s="102" t="s">
        <v>58</v>
      </c>
      <c r="AR42" s="353" t="s">
        <v>101</v>
      </c>
      <c r="AS42" s="374"/>
      <c r="AT42" s="101"/>
      <c r="AU42" s="102"/>
      <c r="AV42" s="353" t="s">
        <v>100</v>
      </c>
      <c r="AW42" s="354"/>
      <c r="AX42" s="101"/>
      <c r="AY42" s="102"/>
      <c r="AZ42" s="26" t="s">
        <v>54</v>
      </c>
      <c r="BA42" s="26" t="s">
        <v>58</v>
      </c>
      <c r="BB42" s="101"/>
      <c r="BC42" s="102"/>
      <c r="BD42" s="26" t="s">
        <v>58</v>
      </c>
      <c r="BE42" s="26" t="s">
        <v>55</v>
      </c>
      <c r="BF42" s="101" t="s">
        <v>60</v>
      </c>
      <c r="BG42" s="102" t="s">
        <v>56</v>
      </c>
      <c r="BH42" s="26" t="s">
        <v>54</v>
      </c>
      <c r="BI42" s="26" t="s">
        <v>56</v>
      </c>
      <c r="BJ42" s="101" t="s">
        <v>54</v>
      </c>
      <c r="BK42" s="102" t="s">
        <v>58</v>
      </c>
      <c r="BL42" s="413" t="s">
        <v>95</v>
      </c>
      <c r="BM42" s="414"/>
      <c r="BN42" s="408" t="s">
        <v>45</v>
      </c>
      <c r="BO42" s="409"/>
      <c r="BP42" s="26" t="s">
        <v>55</v>
      </c>
      <c r="BQ42" s="26" t="s">
        <v>59</v>
      </c>
      <c r="BR42" s="101" t="s">
        <v>58</v>
      </c>
      <c r="BS42" s="102" t="s">
        <v>57</v>
      </c>
      <c r="BT42" s="26" t="s">
        <v>54</v>
      </c>
      <c r="BU42" s="26" t="s">
        <v>60</v>
      </c>
      <c r="BV42" s="353" t="s">
        <v>96</v>
      </c>
      <c r="BW42" s="374"/>
      <c r="BX42" s="26"/>
      <c r="BY42" s="26"/>
      <c r="BZ42" s="101"/>
      <c r="CA42" s="102"/>
      <c r="CB42" s="26"/>
      <c r="CC42" s="26"/>
      <c r="CD42" s="101"/>
      <c r="CE42" s="102"/>
      <c r="CF42" s="26"/>
      <c r="CG42" s="102"/>
      <c r="CH42" s="101"/>
      <c r="CI42" s="102"/>
      <c r="CJ42" s="26"/>
      <c r="CK42" s="102"/>
      <c r="CL42" s="101"/>
      <c r="CM42" s="102"/>
      <c r="CN42" s="26"/>
      <c r="CO42" s="102"/>
    </row>
    <row r="43" spans="1:93" ht="18.75" customHeight="1" thickBot="1">
      <c r="A43" s="285">
        <f t="shared" si="2"/>
        <v>56</v>
      </c>
      <c r="B43" s="423"/>
      <c r="C43" s="424"/>
      <c r="D43" s="26"/>
      <c r="E43" s="102"/>
      <c r="F43" s="26"/>
      <c r="G43" s="102"/>
      <c r="H43" s="26"/>
      <c r="I43" s="102"/>
      <c r="J43" s="26"/>
      <c r="K43" s="102"/>
      <c r="L43" s="26"/>
      <c r="M43" s="26"/>
      <c r="N43" s="101"/>
      <c r="O43" s="102"/>
      <c r="P43" s="26"/>
      <c r="Q43" s="26"/>
      <c r="R43" s="101"/>
      <c r="S43" s="102"/>
      <c r="T43" s="26"/>
      <c r="U43" s="26"/>
      <c r="V43" s="101"/>
      <c r="W43" s="102"/>
      <c r="X43" s="26"/>
      <c r="Y43" s="26"/>
      <c r="Z43" s="101"/>
      <c r="AA43" s="102"/>
      <c r="AB43" s="26"/>
      <c r="AC43" s="26"/>
      <c r="AD43" s="101"/>
      <c r="AE43" s="102"/>
      <c r="AF43" s="26"/>
      <c r="AG43" s="26"/>
      <c r="AH43" s="101"/>
      <c r="AI43" s="102"/>
      <c r="AJ43" s="26"/>
      <c r="AK43" s="26"/>
      <c r="AL43" s="368"/>
      <c r="AM43" s="369"/>
      <c r="AN43" s="26" t="s">
        <v>57</v>
      </c>
      <c r="AO43" s="26" t="s">
        <v>55</v>
      </c>
      <c r="AP43" s="101" t="s">
        <v>60</v>
      </c>
      <c r="AQ43" s="102" t="s">
        <v>56</v>
      </c>
      <c r="AR43" s="375"/>
      <c r="AS43" s="376"/>
      <c r="AT43" s="101"/>
      <c r="AU43" s="102"/>
      <c r="AV43" s="355"/>
      <c r="AW43" s="356"/>
      <c r="AX43" s="101"/>
      <c r="AY43" s="102"/>
      <c r="AZ43" s="26" t="s">
        <v>57</v>
      </c>
      <c r="BA43" s="26" t="s">
        <v>55</v>
      </c>
      <c r="BB43" s="101"/>
      <c r="BC43" s="102"/>
      <c r="BD43" s="26" t="s">
        <v>59</v>
      </c>
      <c r="BE43" s="26" t="s">
        <v>59</v>
      </c>
      <c r="BF43" s="101" t="s">
        <v>59</v>
      </c>
      <c r="BG43" s="102" t="s">
        <v>55</v>
      </c>
      <c r="BH43" s="26" t="s">
        <v>55</v>
      </c>
      <c r="BI43" s="26" t="s">
        <v>55</v>
      </c>
      <c r="BJ43" s="101" t="s">
        <v>57</v>
      </c>
      <c r="BK43" s="102" t="s">
        <v>55</v>
      </c>
      <c r="BL43" s="414"/>
      <c r="BM43" s="414"/>
      <c r="BN43" s="410"/>
      <c r="BO43" s="409"/>
      <c r="BP43" s="26" t="s">
        <v>57</v>
      </c>
      <c r="BQ43" s="26" t="s">
        <v>57</v>
      </c>
      <c r="BR43" s="101" t="s">
        <v>59</v>
      </c>
      <c r="BS43" s="102" t="s">
        <v>55</v>
      </c>
      <c r="BT43" s="26" t="s">
        <v>56</v>
      </c>
      <c r="BU43" s="26" t="s">
        <v>59</v>
      </c>
      <c r="BV43" s="375"/>
      <c r="BW43" s="376"/>
      <c r="BX43" s="26"/>
      <c r="BY43" s="26"/>
      <c r="BZ43" s="101"/>
      <c r="CA43" s="102"/>
      <c r="CB43" s="26"/>
      <c r="CC43" s="26"/>
      <c r="CD43" s="101"/>
      <c r="CE43" s="102"/>
      <c r="CF43" s="26"/>
      <c r="CG43" s="102"/>
      <c r="CH43" s="101"/>
      <c r="CI43" s="102"/>
      <c r="CJ43" s="26"/>
      <c r="CK43" s="102"/>
      <c r="CL43" s="101"/>
      <c r="CM43" s="102"/>
      <c r="CN43" s="26"/>
      <c r="CO43" s="102"/>
    </row>
    <row r="44" spans="1:93" ht="18.75" customHeight="1" thickTop="1">
      <c r="A44" s="285">
        <f t="shared" si="2"/>
        <v>55</v>
      </c>
      <c r="B44" s="421">
        <v>55</v>
      </c>
      <c r="C44" s="422"/>
      <c r="D44" s="105"/>
      <c r="E44" s="100"/>
      <c r="F44" s="105"/>
      <c r="G44" s="100"/>
      <c r="H44" s="105"/>
      <c r="I44" s="100"/>
      <c r="J44" s="105"/>
      <c r="K44" s="100"/>
      <c r="L44" s="105"/>
      <c r="M44" s="105"/>
      <c r="N44" s="99"/>
      <c r="O44" s="100"/>
      <c r="P44" s="105"/>
      <c r="Q44" s="105"/>
      <c r="R44" s="99"/>
      <c r="S44" s="100"/>
      <c r="T44" s="105"/>
      <c r="U44" s="105"/>
      <c r="V44" s="99"/>
      <c r="W44" s="100"/>
      <c r="X44" s="105"/>
      <c r="Y44" s="105"/>
      <c r="Z44" s="99"/>
      <c r="AA44" s="100"/>
      <c r="AB44" s="105"/>
      <c r="AC44" s="105"/>
      <c r="AD44" s="99"/>
      <c r="AE44" s="100"/>
      <c r="AF44" s="105"/>
      <c r="AG44" s="105"/>
      <c r="AH44" s="353" t="s">
        <v>111</v>
      </c>
      <c r="AI44" s="354"/>
      <c r="AJ44" s="105" t="s">
        <v>59</v>
      </c>
      <c r="AK44" s="105" t="s">
        <v>59</v>
      </c>
      <c r="AL44" s="99" t="s">
        <v>60</v>
      </c>
      <c r="AM44" s="100" t="s">
        <v>57</v>
      </c>
      <c r="AN44" s="105" t="s">
        <v>59</v>
      </c>
      <c r="AO44" s="105" t="s">
        <v>57</v>
      </c>
      <c r="AP44" s="99" t="s">
        <v>58</v>
      </c>
      <c r="AQ44" s="100" t="s">
        <v>55</v>
      </c>
      <c r="AR44" s="105" t="s">
        <v>54</v>
      </c>
      <c r="AS44" s="105" t="s">
        <v>58</v>
      </c>
      <c r="AT44" s="99"/>
      <c r="AU44" s="100"/>
      <c r="AV44" s="105"/>
      <c r="AW44" s="105"/>
      <c r="AX44" s="99"/>
      <c r="AY44" s="100"/>
      <c r="AZ44" s="105"/>
      <c r="BA44" s="105"/>
      <c r="BB44" s="99"/>
      <c r="BC44" s="100"/>
      <c r="BD44" s="105"/>
      <c r="BE44" s="105"/>
      <c r="BF44" s="99"/>
      <c r="BG44" s="100"/>
      <c r="BH44" s="359"/>
      <c r="BI44" s="360"/>
      <c r="BJ44" s="99" t="s">
        <v>54</v>
      </c>
      <c r="BK44" s="100" t="s">
        <v>60</v>
      </c>
      <c r="BL44" s="105" t="s">
        <v>54</v>
      </c>
      <c r="BM44" s="105" t="s">
        <v>60</v>
      </c>
      <c r="BN44" s="99" t="s">
        <v>54</v>
      </c>
      <c r="BO44" s="100" t="s">
        <v>58</v>
      </c>
      <c r="BP44" s="105" t="s">
        <v>60</v>
      </c>
      <c r="BQ44" s="105" t="s">
        <v>57</v>
      </c>
      <c r="BR44" s="99" t="s">
        <v>54</v>
      </c>
      <c r="BS44" s="100" t="s">
        <v>60</v>
      </c>
      <c r="BT44" s="105" t="s">
        <v>54</v>
      </c>
      <c r="BU44" s="105" t="s">
        <v>59</v>
      </c>
      <c r="BV44" s="99"/>
      <c r="BW44" s="100"/>
      <c r="BX44" s="105"/>
      <c r="BY44" s="105"/>
      <c r="BZ44" s="353" t="s">
        <v>121</v>
      </c>
      <c r="CA44" s="354"/>
      <c r="CB44" s="105"/>
      <c r="CC44" s="105"/>
      <c r="CD44" s="99"/>
      <c r="CE44" s="100"/>
      <c r="CF44" s="105"/>
      <c r="CG44" s="100"/>
      <c r="CH44" s="152"/>
      <c r="CI44" s="100"/>
      <c r="CJ44" s="105"/>
      <c r="CK44" s="100"/>
      <c r="CL44" s="152"/>
      <c r="CM44" s="100"/>
      <c r="CN44" s="105"/>
      <c r="CO44" s="100"/>
    </row>
    <row r="45" spans="1:93" ht="18.75" customHeight="1" thickBot="1">
      <c r="A45" s="285">
        <f t="shared" si="2"/>
        <v>55</v>
      </c>
      <c r="B45" s="423"/>
      <c r="C45" s="424"/>
      <c r="D45" s="106"/>
      <c r="E45" s="104"/>
      <c r="F45" s="106"/>
      <c r="G45" s="104"/>
      <c r="H45" s="106"/>
      <c r="I45" s="104"/>
      <c r="J45" s="106"/>
      <c r="K45" s="104"/>
      <c r="L45" s="106"/>
      <c r="M45" s="106"/>
      <c r="N45" s="103"/>
      <c r="O45" s="104"/>
      <c r="P45" s="106"/>
      <c r="Q45" s="106"/>
      <c r="R45" s="103"/>
      <c r="S45" s="104"/>
      <c r="T45" s="106"/>
      <c r="U45" s="106"/>
      <c r="V45" s="103"/>
      <c r="W45" s="104"/>
      <c r="X45" s="106"/>
      <c r="Y45" s="106"/>
      <c r="Z45" s="103"/>
      <c r="AA45" s="104"/>
      <c r="AB45" s="106"/>
      <c r="AC45" s="106"/>
      <c r="AD45" s="103"/>
      <c r="AE45" s="104"/>
      <c r="AF45" s="106"/>
      <c r="AG45" s="106"/>
      <c r="AH45" s="355"/>
      <c r="AI45" s="356"/>
      <c r="AJ45" s="106" t="s">
        <v>57</v>
      </c>
      <c r="AK45" s="106" t="s">
        <v>56</v>
      </c>
      <c r="AL45" s="103" t="s">
        <v>56</v>
      </c>
      <c r="AM45" s="104" t="s">
        <v>56</v>
      </c>
      <c r="AN45" s="106" t="s">
        <v>56</v>
      </c>
      <c r="AO45" s="106" t="s">
        <v>56</v>
      </c>
      <c r="AP45" s="103" t="s">
        <v>56</v>
      </c>
      <c r="AQ45" s="104" t="s">
        <v>56</v>
      </c>
      <c r="AR45" s="106" t="s">
        <v>60</v>
      </c>
      <c r="AS45" s="106" t="s">
        <v>59</v>
      </c>
      <c r="AT45" s="103"/>
      <c r="AU45" s="104"/>
      <c r="AV45" s="106"/>
      <c r="AW45" s="106"/>
      <c r="AX45" s="103"/>
      <c r="AY45" s="104"/>
      <c r="AZ45" s="106"/>
      <c r="BA45" s="106"/>
      <c r="BB45" s="103"/>
      <c r="BC45" s="104"/>
      <c r="BD45" s="106"/>
      <c r="BE45" s="106"/>
      <c r="BF45" s="103"/>
      <c r="BG45" s="104"/>
      <c r="BH45" s="361"/>
      <c r="BI45" s="362"/>
      <c r="BJ45" s="103" t="s">
        <v>60</v>
      </c>
      <c r="BK45" s="104" t="s">
        <v>57</v>
      </c>
      <c r="BL45" s="106" t="s">
        <v>55</v>
      </c>
      <c r="BM45" s="106" t="s">
        <v>59</v>
      </c>
      <c r="BN45" s="103" t="s">
        <v>55</v>
      </c>
      <c r="BO45" s="104" t="s">
        <v>56</v>
      </c>
      <c r="BP45" s="106" t="s">
        <v>59</v>
      </c>
      <c r="BQ45" s="106" t="s">
        <v>56</v>
      </c>
      <c r="BR45" s="103" t="s">
        <v>58</v>
      </c>
      <c r="BS45" s="104" t="s">
        <v>59</v>
      </c>
      <c r="BT45" s="106" t="s">
        <v>60</v>
      </c>
      <c r="BU45" s="106" t="s">
        <v>60</v>
      </c>
      <c r="BV45" s="103"/>
      <c r="BW45" s="104"/>
      <c r="BX45" s="106"/>
      <c r="BY45" s="106"/>
      <c r="BZ45" s="355"/>
      <c r="CA45" s="356"/>
      <c r="CB45" s="106"/>
      <c r="CC45" s="106"/>
      <c r="CD45" s="103"/>
      <c r="CE45" s="104"/>
      <c r="CF45" s="106"/>
      <c r="CG45" s="104"/>
      <c r="CH45" s="103"/>
      <c r="CI45" s="104"/>
      <c r="CJ45" s="106"/>
      <c r="CK45" s="104"/>
      <c r="CL45" s="103"/>
      <c r="CM45" s="104"/>
      <c r="CN45" s="106"/>
      <c r="CO45" s="104"/>
    </row>
    <row r="46" spans="1:93" ht="18.75" customHeight="1" thickTop="1">
      <c r="A46" s="285">
        <f t="shared" si="2"/>
        <v>54</v>
      </c>
      <c r="B46" s="421">
        <v>54</v>
      </c>
      <c r="C46" s="422"/>
      <c r="D46" s="26"/>
      <c r="E46" s="102"/>
      <c r="F46" s="26"/>
      <c r="G46" s="102"/>
      <c r="H46" s="26"/>
      <c r="I46" s="102"/>
      <c r="J46" s="26"/>
      <c r="K46" s="102"/>
      <c r="L46" s="26"/>
      <c r="M46" s="26"/>
      <c r="N46" s="101"/>
      <c r="O46" s="102"/>
      <c r="P46" s="26"/>
      <c r="Q46" s="26"/>
      <c r="R46" s="101"/>
      <c r="S46" s="102"/>
      <c r="T46" s="26"/>
      <c r="U46" s="26"/>
      <c r="V46" s="101"/>
      <c r="W46" s="102"/>
      <c r="X46" s="26"/>
      <c r="Y46" s="26"/>
      <c r="Z46" s="101"/>
      <c r="AA46" s="102"/>
      <c r="AB46" s="26"/>
      <c r="AC46" s="26"/>
      <c r="AD46" s="101"/>
      <c r="AE46" s="102"/>
      <c r="AF46" s="26" t="s">
        <v>58</v>
      </c>
      <c r="AG46" s="26" t="s">
        <v>58</v>
      </c>
      <c r="AH46" s="101" t="s">
        <v>58</v>
      </c>
      <c r="AI46" s="102" t="s">
        <v>60</v>
      </c>
      <c r="AJ46" s="26" t="s">
        <v>54</v>
      </c>
      <c r="AK46" s="26" t="s">
        <v>58</v>
      </c>
      <c r="AL46" s="101" t="s">
        <v>60</v>
      </c>
      <c r="AM46" s="102" t="s">
        <v>60</v>
      </c>
      <c r="AN46" s="101" t="s">
        <v>54</v>
      </c>
      <c r="AO46" s="102" t="s">
        <v>60</v>
      </c>
      <c r="AP46" s="101" t="s">
        <v>54</v>
      </c>
      <c r="AQ46" s="102" t="s">
        <v>58</v>
      </c>
      <c r="AR46" s="26" t="s">
        <v>60</v>
      </c>
      <c r="AS46" s="26" t="s">
        <v>57</v>
      </c>
      <c r="AT46" s="101" t="s">
        <v>54</v>
      </c>
      <c r="AU46" s="102" t="s">
        <v>60</v>
      </c>
      <c r="AV46" s="26"/>
      <c r="AW46" s="26"/>
      <c r="AX46" s="101"/>
      <c r="AY46" s="102"/>
      <c r="AZ46" s="353" t="s">
        <v>99</v>
      </c>
      <c r="BA46" s="354"/>
      <c r="BB46" s="101"/>
      <c r="BC46" s="102"/>
      <c r="BD46" s="26"/>
      <c r="BE46" s="26"/>
      <c r="BF46" s="353" t="s">
        <v>98</v>
      </c>
      <c r="BG46" s="354"/>
      <c r="BH46" s="26"/>
      <c r="BI46" s="26"/>
      <c r="BJ46" s="101"/>
      <c r="BK46" s="102"/>
      <c r="BL46" s="26" t="s">
        <v>54</v>
      </c>
      <c r="BM46" s="26" t="s">
        <v>58</v>
      </c>
      <c r="BN46" s="101" t="s">
        <v>58</v>
      </c>
      <c r="BO46" s="102" t="s">
        <v>58</v>
      </c>
      <c r="BP46" s="413" t="s">
        <v>97</v>
      </c>
      <c r="BQ46" s="414"/>
      <c r="BR46" s="101" t="s">
        <v>58</v>
      </c>
      <c r="BS46" s="102" t="s">
        <v>59</v>
      </c>
      <c r="BT46" s="363" t="s">
        <v>117</v>
      </c>
      <c r="BU46" s="364"/>
      <c r="BV46" s="101"/>
      <c r="BW46" s="102"/>
      <c r="BX46" s="26"/>
      <c r="BY46" s="26"/>
      <c r="BZ46" s="101"/>
      <c r="CA46" s="102"/>
      <c r="CB46" s="26"/>
      <c r="CC46" s="26"/>
      <c r="CD46" s="101"/>
      <c r="CE46" s="102"/>
      <c r="CF46" s="26"/>
      <c r="CG46" s="102"/>
      <c r="CH46" s="101"/>
      <c r="CI46" s="102"/>
      <c r="CJ46" s="26"/>
      <c r="CK46" s="102"/>
      <c r="CL46" s="101"/>
      <c r="CM46" s="102"/>
      <c r="CN46" s="26"/>
      <c r="CO46" s="102"/>
    </row>
    <row r="47" spans="1:93" ht="18.75" customHeight="1" thickBot="1">
      <c r="A47" s="285">
        <f t="shared" si="2"/>
        <v>54</v>
      </c>
      <c r="B47" s="423"/>
      <c r="C47" s="424"/>
      <c r="D47" s="26"/>
      <c r="E47" s="102"/>
      <c r="F47" s="26"/>
      <c r="G47" s="102"/>
      <c r="H47" s="26"/>
      <c r="I47" s="102"/>
      <c r="J47" s="26"/>
      <c r="K47" s="102"/>
      <c r="L47" s="26"/>
      <c r="M47" s="26"/>
      <c r="N47" s="101"/>
      <c r="O47" s="102"/>
      <c r="P47" s="26"/>
      <c r="Q47" s="26"/>
      <c r="R47" s="101"/>
      <c r="S47" s="102"/>
      <c r="T47" s="26"/>
      <c r="U47" s="26"/>
      <c r="V47" s="101"/>
      <c r="W47" s="102"/>
      <c r="X47" s="26"/>
      <c r="Y47" s="26"/>
      <c r="Z47" s="101"/>
      <c r="AA47" s="102"/>
      <c r="AB47" s="26"/>
      <c r="AC47" s="26"/>
      <c r="AD47" s="101"/>
      <c r="AE47" s="102"/>
      <c r="AF47" s="26" t="s">
        <v>56</v>
      </c>
      <c r="AG47" s="26" t="s">
        <v>55</v>
      </c>
      <c r="AH47" s="101" t="s">
        <v>56</v>
      </c>
      <c r="AI47" s="102" t="s">
        <v>55</v>
      </c>
      <c r="AJ47" s="26" t="s">
        <v>59</v>
      </c>
      <c r="AK47" s="26" t="s">
        <v>59</v>
      </c>
      <c r="AL47" s="101" t="s">
        <v>59</v>
      </c>
      <c r="AM47" s="102" t="s">
        <v>57</v>
      </c>
      <c r="AN47" s="101" t="s">
        <v>60</v>
      </c>
      <c r="AO47" s="102" t="s">
        <v>55</v>
      </c>
      <c r="AP47" s="101" t="s">
        <v>60</v>
      </c>
      <c r="AQ47" s="102" t="s">
        <v>60</v>
      </c>
      <c r="AR47" s="26" t="s">
        <v>56</v>
      </c>
      <c r="AS47" s="26" t="s">
        <v>55</v>
      </c>
      <c r="AT47" s="101" t="s">
        <v>57</v>
      </c>
      <c r="AU47" s="102" t="s">
        <v>56</v>
      </c>
      <c r="AV47" s="26"/>
      <c r="AW47" s="26"/>
      <c r="AX47" s="101"/>
      <c r="AY47" s="102"/>
      <c r="AZ47" s="355"/>
      <c r="BA47" s="356"/>
      <c r="BB47" s="101"/>
      <c r="BC47" s="102"/>
      <c r="BD47" s="26"/>
      <c r="BE47" s="26"/>
      <c r="BF47" s="355"/>
      <c r="BG47" s="356"/>
      <c r="BH47" s="26"/>
      <c r="BI47" s="26"/>
      <c r="BJ47" s="101"/>
      <c r="BK47" s="102"/>
      <c r="BL47" s="26" t="s">
        <v>60</v>
      </c>
      <c r="BM47" s="26" t="s">
        <v>57</v>
      </c>
      <c r="BN47" s="101" t="s">
        <v>60</v>
      </c>
      <c r="BO47" s="102" t="s">
        <v>55</v>
      </c>
      <c r="BP47" s="414"/>
      <c r="BQ47" s="414"/>
      <c r="BR47" s="101" t="s">
        <v>56</v>
      </c>
      <c r="BS47" s="102" t="s">
        <v>57</v>
      </c>
      <c r="BT47" s="365"/>
      <c r="BU47" s="366"/>
      <c r="BV47" s="101"/>
      <c r="BW47" s="102"/>
      <c r="BX47" s="26"/>
      <c r="BY47" s="26"/>
      <c r="BZ47" s="101"/>
      <c r="CA47" s="102"/>
      <c r="CB47" s="26"/>
      <c r="CC47" s="26"/>
      <c r="CD47" s="101"/>
      <c r="CE47" s="102"/>
      <c r="CF47" s="26"/>
      <c r="CG47" s="102"/>
      <c r="CH47" s="101"/>
      <c r="CI47" s="102"/>
      <c r="CJ47" s="26"/>
      <c r="CK47" s="102"/>
      <c r="CL47" s="101"/>
      <c r="CM47" s="102"/>
      <c r="CN47" s="26"/>
      <c r="CO47" s="102"/>
    </row>
    <row r="48" spans="1:93" ht="18.75" customHeight="1" thickTop="1">
      <c r="A48" s="285">
        <f t="shared" si="2"/>
        <v>53</v>
      </c>
      <c r="B48" s="421">
        <v>53</v>
      </c>
      <c r="C48" s="422"/>
      <c r="D48" s="105"/>
      <c r="E48" s="100"/>
      <c r="F48" s="105"/>
      <c r="G48" s="100"/>
      <c r="H48" s="105"/>
      <c r="I48" s="100"/>
      <c r="J48" s="105"/>
      <c r="K48" s="100"/>
      <c r="L48" s="105"/>
      <c r="M48" s="105"/>
      <c r="N48" s="99"/>
      <c r="O48" s="100"/>
      <c r="P48" s="105"/>
      <c r="Q48" s="105"/>
      <c r="R48" s="99"/>
      <c r="S48" s="100"/>
      <c r="T48" s="105"/>
      <c r="U48" s="105"/>
      <c r="V48" s="99"/>
      <c r="W48" s="100"/>
      <c r="X48" s="105"/>
      <c r="Y48" s="105"/>
      <c r="Z48" s="99"/>
      <c r="AA48" s="100"/>
      <c r="AB48" s="105"/>
      <c r="AC48" s="105"/>
      <c r="AD48" s="99" t="s">
        <v>54</v>
      </c>
      <c r="AE48" s="100" t="s">
        <v>58</v>
      </c>
      <c r="AF48" s="105" t="s">
        <v>60</v>
      </c>
      <c r="AG48" s="105" t="s">
        <v>60</v>
      </c>
      <c r="AH48" s="99" t="s">
        <v>54</v>
      </c>
      <c r="AI48" s="100" t="s">
        <v>60</v>
      </c>
      <c r="AJ48" s="105" t="s">
        <v>54</v>
      </c>
      <c r="AK48" s="105" t="s">
        <v>58</v>
      </c>
      <c r="AL48" s="99" t="s">
        <v>57</v>
      </c>
      <c r="AM48" s="100" t="s">
        <v>57</v>
      </c>
      <c r="AN48" s="105" t="s">
        <v>54</v>
      </c>
      <c r="AO48" s="105" t="s">
        <v>58</v>
      </c>
      <c r="AP48" s="363" t="s">
        <v>114</v>
      </c>
      <c r="AQ48" s="367"/>
      <c r="AR48" s="105" t="s">
        <v>54</v>
      </c>
      <c r="AS48" s="105" t="s">
        <v>58</v>
      </c>
      <c r="AT48" s="99" t="s">
        <v>58</v>
      </c>
      <c r="AU48" s="100" t="s">
        <v>58</v>
      </c>
      <c r="AV48" s="105"/>
      <c r="AW48" s="105"/>
      <c r="AX48" s="99"/>
      <c r="AY48" s="100"/>
      <c r="AZ48" s="105"/>
      <c r="BA48" s="105"/>
      <c r="BB48" s="99"/>
      <c r="BC48" s="100"/>
      <c r="BD48" s="105"/>
      <c r="BE48" s="105"/>
      <c r="BF48" s="99"/>
      <c r="BG48" s="100"/>
      <c r="BH48" s="105"/>
      <c r="BI48" s="105"/>
      <c r="BJ48" s="353" t="s">
        <v>118</v>
      </c>
      <c r="BK48" s="354"/>
      <c r="BL48" s="105"/>
      <c r="BM48" s="105"/>
      <c r="BN48" s="99" t="s">
        <v>58</v>
      </c>
      <c r="BO48" s="100" t="s">
        <v>58</v>
      </c>
      <c r="BP48" s="105" t="s">
        <v>58</v>
      </c>
      <c r="BQ48" s="105" t="s">
        <v>58</v>
      </c>
      <c r="BR48" s="99" t="s">
        <v>54</v>
      </c>
      <c r="BS48" s="100" t="s">
        <v>58</v>
      </c>
      <c r="BT48" s="105" t="s">
        <v>58</v>
      </c>
      <c r="BU48" s="105" t="s">
        <v>58</v>
      </c>
      <c r="BV48" s="99"/>
      <c r="BW48" s="100"/>
      <c r="BX48" s="105"/>
      <c r="BY48" s="105"/>
      <c r="BZ48" s="99"/>
      <c r="CA48" s="100"/>
      <c r="CB48" s="105"/>
      <c r="CC48" s="105"/>
      <c r="CD48" s="99"/>
      <c r="CE48" s="100"/>
      <c r="CF48" s="105"/>
      <c r="CG48" s="100"/>
      <c r="CH48" s="152"/>
      <c r="CI48" s="100"/>
      <c r="CJ48" s="105"/>
      <c r="CK48" s="100"/>
      <c r="CL48" s="152"/>
      <c r="CM48" s="100"/>
      <c r="CN48" s="105"/>
      <c r="CO48" s="100"/>
    </row>
    <row r="49" spans="1:93" ht="18.75" customHeight="1" thickBot="1">
      <c r="A49" s="285">
        <f t="shared" si="2"/>
        <v>53</v>
      </c>
      <c r="B49" s="423"/>
      <c r="C49" s="424"/>
      <c r="D49" s="106"/>
      <c r="E49" s="104"/>
      <c r="F49" s="106"/>
      <c r="G49" s="104"/>
      <c r="H49" s="106"/>
      <c r="I49" s="104"/>
      <c r="J49" s="106"/>
      <c r="K49" s="104"/>
      <c r="L49" s="106"/>
      <c r="M49" s="106"/>
      <c r="N49" s="103"/>
      <c r="O49" s="104"/>
      <c r="P49" s="106"/>
      <c r="Q49" s="106"/>
      <c r="R49" s="103"/>
      <c r="S49" s="104"/>
      <c r="T49" s="106"/>
      <c r="U49" s="106"/>
      <c r="V49" s="103"/>
      <c r="W49" s="104"/>
      <c r="X49" s="106"/>
      <c r="Y49" s="106"/>
      <c r="Z49" s="103"/>
      <c r="AA49" s="104"/>
      <c r="AB49" s="106"/>
      <c r="AC49" s="106"/>
      <c r="AD49" s="103" t="s">
        <v>59</v>
      </c>
      <c r="AE49" s="104" t="s">
        <v>57</v>
      </c>
      <c r="AF49" s="106" t="s">
        <v>58</v>
      </c>
      <c r="AG49" s="106" t="s">
        <v>56</v>
      </c>
      <c r="AH49" s="103" t="s">
        <v>60</v>
      </c>
      <c r="AI49" s="104" t="s">
        <v>59</v>
      </c>
      <c r="AJ49" s="106" t="s">
        <v>55</v>
      </c>
      <c r="AK49" s="106" t="s">
        <v>55</v>
      </c>
      <c r="AL49" s="101" t="s">
        <v>56</v>
      </c>
      <c r="AM49" s="102" t="s">
        <v>55</v>
      </c>
      <c r="AN49" s="106" t="s">
        <v>59</v>
      </c>
      <c r="AO49" s="106" t="s">
        <v>55</v>
      </c>
      <c r="AP49" s="368"/>
      <c r="AQ49" s="369"/>
      <c r="AR49" s="106" t="s">
        <v>55</v>
      </c>
      <c r="AS49" s="106" t="s">
        <v>55</v>
      </c>
      <c r="AT49" s="103" t="s">
        <v>56</v>
      </c>
      <c r="AU49" s="104" t="s">
        <v>59</v>
      </c>
      <c r="AV49" s="106"/>
      <c r="AW49" s="106"/>
      <c r="AX49" s="103"/>
      <c r="AY49" s="104"/>
      <c r="AZ49" s="106"/>
      <c r="BA49" s="106"/>
      <c r="BB49" s="103"/>
      <c r="BC49" s="104"/>
      <c r="BD49" s="106"/>
      <c r="BE49" s="106"/>
      <c r="BF49" s="103"/>
      <c r="BG49" s="104"/>
      <c r="BH49" s="106"/>
      <c r="BI49" s="106"/>
      <c r="BJ49" s="355"/>
      <c r="BK49" s="356"/>
      <c r="BL49" s="106"/>
      <c r="BM49" s="106"/>
      <c r="BN49" s="103" t="s">
        <v>60</v>
      </c>
      <c r="BO49" s="104" t="s">
        <v>59</v>
      </c>
      <c r="BP49" s="106" t="s">
        <v>56</v>
      </c>
      <c r="BQ49" s="106" t="s">
        <v>55</v>
      </c>
      <c r="BR49" s="103" t="s">
        <v>60</v>
      </c>
      <c r="BS49" s="104" t="s">
        <v>56</v>
      </c>
      <c r="BT49" s="106" t="s">
        <v>60</v>
      </c>
      <c r="BU49" s="106" t="s">
        <v>59</v>
      </c>
      <c r="BV49" s="103"/>
      <c r="BW49" s="104"/>
      <c r="BX49" s="106"/>
      <c r="BY49" s="106"/>
      <c r="BZ49" s="103"/>
      <c r="CA49" s="104"/>
      <c r="CB49" s="106"/>
      <c r="CC49" s="106"/>
      <c r="CD49" s="103"/>
      <c r="CE49" s="104"/>
      <c r="CF49" s="106"/>
      <c r="CG49" s="104"/>
      <c r="CH49" s="103"/>
      <c r="CI49" s="104"/>
      <c r="CJ49" s="106"/>
      <c r="CK49" s="104"/>
      <c r="CL49" s="103"/>
      <c r="CM49" s="104"/>
      <c r="CN49" s="106"/>
      <c r="CO49" s="104"/>
    </row>
    <row r="50" spans="1:93" ht="18.75" customHeight="1" thickTop="1">
      <c r="A50" s="285">
        <f t="shared" si="2"/>
        <v>52</v>
      </c>
      <c r="B50" s="421">
        <v>52</v>
      </c>
      <c r="C50" s="422"/>
      <c r="D50" s="26"/>
      <c r="E50" s="102"/>
      <c r="F50" s="26"/>
      <c r="G50" s="102"/>
      <c r="H50" s="26"/>
      <c r="I50" s="102"/>
      <c r="J50" s="26"/>
      <c r="K50" s="102"/>
      <c r="L50" s="26"/>
      <c r="M50" s="26"/>
      <c r="N50" s="101"/>
      <c r="O50" s="102"/>
      <c r="P50" s="26"/>
      <c r="Q50" s="26"/>
      <c r="R50" s="101"/>
      <c r="S50" s="102"/>
      <c r="T50" s="26"/>
      <c r="U50" s="26"/>
      <c r="V50" s="101"/>
      <c r="W50" s="102"/>
      <c r="X50" s="26"/>
      <c r="Y50" s="26"/>
      <c r="Z50" s="101"/>
      <c r="AA50" s="102"/>
      <c r="AB50" s="26" t="s">
        <v>54</v>
      </c>
      <c r="AC50" s="26" t="s">
        <v>60</v>
      </c>
      <c r="AD50" s="101" t="s">
        <v>54</v>
      </c>
      <c r="AE50" s="102" t="s">
        <v>60</v>
      </c>
      <c r="AF50" s="26" t="s">
        <v>54</v>
      </c>
      <c r="AG50" s="26" t="s">
        <v>58</v>
      </c>
      <c r="AH50" s="363" t="s">
        <v>113</v>
      </c>
      <c r="AI50" s="367"/>
      <c r="AJ50" s="26" t="s">
        <v>54</v>
      </c>
      <c r="AK50" s="26" t="s">
        <v>54</v>
      </c>
      <c r="AL50" s="289" t="s">
        <v>54</v>
      </c>
      <c r="AM50" s="100" t="s">
        <v>54</v>
      </c>
      <c r="AN50" s="26" t="s">
        <v>54</v>
      </c>
      <c r="AO50" s="26" t="s">
        <v>57</v>
      </c>
      <c r="AP50" s="101" t="s">
        <v>58</v>
      </c>
      <c r="AQ50" s="102" t="s">
        <v>57</v>
      </c>
      <c r="AR50" s="26" t="s">
        <v>58</v>
      </c>
      <c r="AS50" s="26" t="s">
        <v>60</v>
      </c>
      <c r="AT50" s="101"/>
      <c r="AU50" s="102"/>
      <c r="AV50" s="26"/>
      <c r="AW50" s="26"/>
      <c r="AX50" s="101"/>
      <c r="AY50" s="102"/>
      <c r="AZ50" s="26"/>
      <c r="BA50" s="26"/>
      <c r="BB50" s="101"/>
      <c r="BC50" s="102"/>
      <c r="BD50" s="26"/>
      <c r="BE50" s="26"/>
      <c r="BF50" s="101"/>
      <c r="BG50" s="102"/>
      <c r="BH50" s="26"/>
      <c r="BI50" s="26"/>
      <c r="BJ50" s="101"/>
      <c r="BK50" s="102"/>
      <c r="BL50" s="26"/>
      <c r="BM50" s="26"/>
      <c r="BN50" s="101" t="s">
        <v>54</v>
      </c>
      <c r="BO50" s="102" t="s">
        <v>60</v>
      </c>
      <c r="BP50" s="26" t="s">
        <v>54</v>
      </c>
      <c r="BQ50" s="26" t="s">
        <v>58</v>
      </c>
      <c r="BR50" s="408" t="s">
        <v>25</v>
      </c>
      <c r="BS50" s="409"/>
      <c r="BT50" s="26" t="s">
        <v>55</v>
      </c>
      <c r="BU50" s="26" t="s">
        <v>59</v>
      </c>
      <c r="BV50" s="101"/>
      <c r="BW50" s="102"/>
      <c r="BX50" s="26"/>
      <c r="BY50" s="26"/>
      <c r="BZ50" s="353" t="s">
        <v>122</v>
      </c>
      <c r="CA50" s="354"/>
      <c r="CB50" s="26"/>
      <c r="CC50" s="26"/>
      <c r="CD50" s="101"/>
      <c r="CE50" s="102"/>
      <c r="CF50" s="26"/>
      <c r="CG50" s="102"/>
      <c r="CH50" s="101"/>
      <c r="CI50" s="102"/>
      <c r="CJ50" s="26"/>
      <c r="CK50" s="102"/>
      <c r="CL50" s="101"/>
      <c r="CM50" s="102"/>
      <c r="CN50" s="26"/>
      <c r="CO50" s="102"/>
    </row>
    <row r="51" spans="1:93" ht="18.75" customHeight="1" thickBot="1">
      <c r="A51" s="285">
        <f t="shared" si="2"/>
        <v>52</v>
      </c>
      <c r="B51" s="423"/>
      <c r="C51" s="424"/>
      <c r="D51" s="26"/>
      <c r="E51" s="102"/>
      <c r="F51" s="26"/>
      <c r="G51" s="102"/>
      <c r="H51" s="26"/>
      <c r="I51" s="102"/>
      <c r="J51" s="26"/>
      <c r="K51" s="102"/>
      <c r="L51" s="26"/>
      <c r="M51" s="26"/>
      <c r="N51" s="101"/>
      <c r="O51" s="102"/>
      <c r="P51" s="26"/>
      <c r="Q51" s="26"/>
      <c r="R51" s="101"/>
      <c r="S51" s="102"/>
      <c r="T51" s="26"/>
      <c r="U51" s="26"/>
      <c r="V51" s="101"/>
      <c r="W51" s="102"/>
      <c r="X51" s="26"/>
      <c r="Y51" s="26"/>
      <c r="Z51" s="101"/>
      <c r="AA51" s="102"/>
      <c r="AB51" s="26" t="s">
        <v>56</v>
      </c>
      <c r="AC51" s="26" t="s">
        <v>57</v>
      </c>
      <c r="AD51" s="101" t="s">
        <v>60</v>
      </c>
      <c r="AE51" s="102" t="s">
        <v>55</v>
      </c>
      <c r="AF51" s="26" t="s">
        <v>55</v>
      </c>
      <c r="AG51" s="26" t="s">
        <v>59</v>
      </c>
      <c r="AH51" s="368"/>
      <c r="AI51" s="369"/>
      <c r="AJ51" s="26" t="s">
        <v>58</v>
      </c>
      <c r="AK51" s="26" t="s">
        <v>56</v>
      </c>
      <c r="AL51" s="103" t="s">
        <v>60</v>
      </c>
      <c r="AM51" s="104" t="s">
        <v>56</v>
      </c>
      <c r="AN51" s="26" t="s">
        <v>55</v>
      </c>
      <c r="AO51" s="26" t="s">
        <v>59</v>
      </c>
      <c r="AP51" s="101" t="s">
        <v>56</v>
      </c>
      <c r="AQ51" s="102" t="s">
        <v>55</v>
      </c>
      <c r="AR51" s="26" t="s">
        <v>57</v>
      </c>
      <c r="AS51" s="26" t="s">
        <v>55</v>
      </c>
      <c r="AT51" s="101"/>
      <c r="AU51" s="102"/>
      <c r="AV51" s="26"/>
      <c r="AW51" s="26"/>
      <c r="AX51" s="101"/>
      <c r="AY51" s="102"/>
      <c r="AZ51" s="26"/>
      <c r="BA51" s="26"/>
      <c r="BB51" s="101"/>
      <c r="BC51" s="102"/>
      <c r="BD51" s="26"/>
      <c r="BE51" s="26"/>
      <c r="BF51" s="101"/>
      <c r="BG51" s="102"/>
      <c r="BH51" s="26"/>
      <c r="BI51" s="26"/>
      <c r="BJ51" s="101"/>
      <c r="BK51" s="102"/>
      <c r="BL51" s="26"/>
      <c r="BM51" s="26"/>
      <c r="BN51" s="101" t="s">
        <v>59</v>
      </c>
      <c r="BO51" s="102" t="s">
        <v>57</v>
      </c>
      <c r="BP51" s="26" t="s">
        <v>57</v>
      </c>
      <c r="BQ51" s="26" t="s">
        <v>56</v>
      </c>
      <c r="BR51" s="410"/>
      <c r="BS51" s="409"/>
      <c r="BT51" s="26" t="s">
        <v>56</v>
      </c>
      <c r="BU51" s="26" t="s">
        <v>56</v>
      </c>
      <c r="BV51" s="101"/>
      <c r="BW51" s="102"/>
      <c r="BX51" s="26"/>
      <c r="BY51" s="26"/>
      <c r="BZ51" s="355"/>
      <c r="CA51" s="356"/>
      <c r="CB51" s="26"/>
      <c r="CC51" s="26"/>
      <c r="CD51" s="101"/>
      <c r="CE51" s="102"/>
      <c r="CF51" s="26"/>
      <c r="CG51" s="102"/>
      <c r="CH51" s="101"/>
      <c r="CI51" s="102"/>
      <c r="CJ51" s="26"/>
      <c r="CK51" s="102"/>
      <c r="CL51" s="101"/>
      <c r="CM51" s="102"/>
      <c r="CN51" s="26"/>
      <c r="CO51" s="102"/>
    </row>
    <row r="52" spans="1:93" ht="18.75" customHeight="1" thickTop="1">
      <c r="A52" s="285">
        <f t="shared" si="2"/>
        <v>51</v>
      </c>
      <c r="B52" s="421">
        <v>51</v>
      </c>
      <c r="C52" s="422"/>
      <c r="D52" s="105"/>
      <c r="E52" s="100"/>
      <c r="F52" s="105"/>
      <c r="G52" s="100"/>
      <c r="H52" s="105"/>
      <c r="I52" s="100"/>
      <c r="J52" s="105"/>
      <c r="K52" s="100"/>
      <c r="L52" s="105"/>
      <c r="M52" s="105"/>
      <c r="N52" s="99"/>
      <c r="O52" s="100"/>
      <c r="P52" s="105"/>
      <c r="Q52" s="105"/>
      <c r="R52" s="99"/>
      <c r="S52" s="100"/>
      <c r="T52" s="105"/>
      <c r="U52" s="105"/>
      <c r="V52" s="99"/>
      <c r="W52" s="100"/>
      <c r="X52" s="105"/>
      <c r="Y52" s="105"/>
      <c r="Z52" s="99"/>
      <c r="AA52" s="100"/>
      <c r="AB52" s="105"/>
      <c r="AC52" s="105"/>
      <c r="AD52" s="99"/>
      <c r="AE52" s="100"/>
      <c r="AF52" s="105" t="s">
        <v>54</v>
      </c>
      <c r="AG52" s="105" t="s">
        <v>58</v>
      </c>
      <c r="AH52" s="99" t="s">
        <v>60</v>
      </c>
      <c r="AI52" s="100" t="s">
        <v>59</v>
      </c>
      <c r="AJ52" s="105" t="s">
        <v>58</v>
      </c>
      <c r="AK52" s="105" t="s">
        <v>57</v>
      </c>
      <c r="AL52" s="101" t="s">
        <v>54</v>
      </c>
      <c r="AM52" s="102" t="s">
        <v>58</v>
      </c>
      <c r="AN52" s="353" t="s">
        <v>115</v>
      </c>
      <c r="AO52" s="354"/>
      <c r="AP52" s="99" t="s">
        <v>54</v>
      </c>
      <c r="AQ52" s="100" t="s">
        <v>60</v>
      </c>
      <c r="AR52" s="105"/>
      <c r="AS52" s="105"/>
      <c r="AT52" s="359"/>
      <c r="AU52" s="360"/>
      <c r="AV52" s="105"/>
      <c r="AW52" s="105"/>
      <c r="AX52" s="99"/>
      <c r="AY52" s="100"/>
      <c r="AZ52" s="105"/>
      <c r="BA52" s="105"/>
      <c r="BB52" s="99"/>
      <c r="BC52" s="100"/>
      <c r="BD52" s="105"/>
      <c r="BE52" s="105"/>
      <c r="BF52" s="99"/>
      <c r="BG52" s="100"/>
      <c r="BH52" s="105"/>
      <c r="BI52" s="105"/>
      <c r="BJ52" s="99"/>
      <c r="BK52" s="100"/>
      <c r="BL52" s="105"/>
      <c r="BM52" s="105"/>
      <c r="BN52" s="99" t="s">
        <v>58</v>
      </c>
      <c r="BO52" s="100" t="s">
        <v>60</v>
      </c>
      <c r="BP52" s="105" t="s">
        <v>60</v>
      </c>
      <c r="BQ52" s="105" t="s">
        <v>56</v>
      </c>
      <c r="BR52" s="99" t="s">
        <v>58</v>
      </c>
      <c r="BS52" s="100" t="s">
        <v>56</v>
      </c>
      <c r="BT52" s="105" t="s">
        <v>54</v>
      </c>
      <c r="BU52" s="105" t="s">
        <v>56</v>
      </c>
      <c r="BV52" s="99"/>
      <c r="BW52" s="100"/>
      <c r="BX52" s="105"/>
      <c r="BY52" s="105"/>
      <c r="BZ52" s="99"/>
      <c r="CA52" s="100"/>
      <c r="CB52" s="105"/>
      <c r="CC52" s="105"/>
      <c r="CD52" s="99"/>
      <c r="CE52" s="100"/>
      <c r="CF52" s="99"/>
      <c r="CG52" s="100"/>
      <c r="CH52" s="152"/>
      <c r="CI52" s="100"/>
      <c r="CJ52" s="152"/>
      <c r="CK52" s="100"/>
      <c r="CL52" s="152"/>
      <c r="CM52" s="100"/>
      <c r="CN52" s="152"/>
      <c r="CO52" s="100"/>
    </row>
    <row r="53" spans="1:93" ht="18.75" customHeight="1" thickBot="1">
      <c r="A53" s="285">
        <f t="shared" si="2"/>
        <v>51</v>
      </c>
      <c r="B53" s="423"/>
      <c r="C53" s="424"/>
      <c r="D53" s="106"/>
      <c r="E53" s="104"/>
      <c r="F53" s="106"/>
      <c r="G53" s="104"/>
      <c r="H53" s="106"/>
      <c r="I53" s="104"/>
      <c r="J53" s="106"/>
      <c r="K53" s="104"/>
      <c r="L53" s="106"/>
      <c r="M53" s="106"/>
      <c r="N53" s="103"/>
      <c r="O53" s="104"/>
      <c r="P53" s="106"/>
      <c r="Q53" s="106"/>
      <c r="R53" s="103"/>
      <c r="S53" s="104"/>
      <c r="T53" s="106"/>
      <c r="U53" s="106"/>
      <c r="V53" s="103"/>
      <c r="W53" s="104"/>
      <c r="X53" s="106"/>
      <c r="Y53" s="106"/>
      <c r="Z53" s="103"/>
      <c r="AA53" s="104"/>
      <c r="AB53" s="106"/>
      <c r="AC53" s="106"/>
      <c r="AD53" s="103"/>
      <c r="AE53" s="104"/>
      <c r="AF53" s="106" t="s">
        <v>55</v>
      </c>
      <c r="AG53" s="106" t="s">
        <v>57</v>
      </c>
      <c r="AH53" s="103" t="s">
        <v>56</v>
      </c>
      <c r="AI53" s="104" t="s">
        <v>57</v>
      </c>
      <c r="AJ53" s="106" t="s">
        <v>59</v>
      </c>
      <c r="AK53" s="106" t="s">
        <v>56</v>
      </c>
      <c r="AL53" s="103" t="s">
        <v>58</v>
      </c>
      <c r="AM53" s="104" t="s">
        <v>57</v>
      </c>
      <c r="AN53" s="355"/>
      <c r="AO53" s="356"/>
      <c r="AP53" s="103" t="s">
        <v>59</v>
      </c>
      <c r="AQ53" s="104" t="s">
        <v>55</v>
      </c>
      <c r="AR53" s="106"/>
      <c r="AS53" s="106"/>
      <c r="AT53" s="361"/>
      <c r="AU53" s="362"/>
      <c r="AV53" s="106"/>
      <c r="AW53" s="106"/>
      <c r="AX53" s="103"/>
      <c r="AY53" s="104"/>
      <c r="AZ53" s="106"/>
      <c r="BA53" s="106"/>
      <c r="BB53" s="103"/>
      <c r="BC53" s="104"/>
      <c r="BD53" s="106"/>
      <c r="BE53" s="106"/>
      <c r="BF53" s="103"/>
      <c r="BG53" s="104"/>
      <c r="BH53" s="106"/>
      <c r="BI53" s="106"/>
      <c r="BJ53" s="103"/>
      <c r="BK53" s="104"/>
      <c r="BL53" s="106"/>
      <c r="BM53" s="106"/>
      <c r="BN53" s="103" t="s">
        <v>59</v>
      </c>
      <c r="BO53" s="104" t="s">
        <v>56</v>
      </c>
      <c r="BP53" s="106" t="s">
        <v>57</v>
      </c>
      <c r="BQ53" s="106" t="s">
        <v>55</v>
      </c>
      <c r="BR53" s="103" t="s">
        <v>55</v>
      </c>
      <c r="BS53" s="104" t="s">
        <v>55</v>
      </c>
      <c r="BT53" s="106" t="s">
        <v>55</v>
      </c>
      <c r="BU53" s="106" t="s">
        <v>57</v>
      </c>
      <c r="BV53" s="103"/>
      <c r="BW53" s="104"/>
      <c r="BX53" s="106"/>
      <c r="BY53" s="106"/>
      <c r="BZ53" s="103"/>
      <c r="CA53" s="104"/>
      <c r="CB53" s="106"/>
      <c r="CC53" s="106"/>
      <c r="CD53" s="103"/>
      <c r="CE53" s="104"/>
      <c r="CF53" s="103"/>
      <c r="CG53" s="104"/>
      <c r="CH53" s="103"/>
      <c r="CI53" s="104"/>
      <c r="CJ53" s="103"/>
      <c r="CK53" s="104"/>
      <c r="CL53" s="103"/>
      <c r="CM53" s="104"/>
      <c r="CN53" s="103"/>
      <c r="CO53" s="104"/>
    </row>
    <row r="54" spans="1:93" ht="18.75" customHeight="1" thickTop="1">
      <c r="A54" s="285">
        <f t="shared" si="2"/>
        <v>50</v>
      </c>
      <c r="B54" s="421">
        <v>50</v>
      </c>
      <c r="C54" s="422"/>
      <c r="D54" s="105"/>
      <c r="E54" s="100"/>
      <c r="F54" s="105"/>
      <c r="G54" s="100"/>
      <c r="H54" s="105"/>
      <c r="I54" s="100"/>
      <c r="J54" s="105"/>
      <c r="K54" s="100"/>
      <c r="L54" s="105"/>
      <c r="M54" s="105"/>
      <c r="N54" s="99"/>
      <c r="O54" s="100"/>
      <c r="P54" s="105"/>
      <c r="Q54" s="105"/>
      <c r="R54" s="99"/>
      <c r="S54" s="100"/>
      <c r="T54" s="105"/>
      <c r="U54" s="105"/>
      <c r="V54" s="99"/>
      <c r="W54" s="100"/>
      <c r="X54" s="105"/>
      <c r="Y54" s="105"/>
      <c r="Z54" s="99"/>
      <c r="AA54" s="100"/>
      <c r="AB54" s="105"/>
      <c r="AC54" s="105"/>
      <c r="AD54" s="99"/>
      <c r="AE54" s="100"/>
      <c r="AF54" s="105" t="s">
        <v>58</v>
      </c>
      <c r="AG54" s="105" t="s">
        <v>58</v>
      </c>
      <c r="AH54" s="99" t="s">
        <v>54</v>
      </c>
      <c r="AI54" s="100" t="s">
        <v>60</v>
      </c>
      <c r="AJ54" s="105" t="s">
        <v>54</v>
      </c>
      <c r="AK54" s="105" t="s">
        <v>60</v>
      </c>
      <c r="AL54" s="99"/>
      <c r="AM54" s="100"/>
      <c r="AN54" s="353" t="s">
        <v>116</v>
      </c>
      <c r="AO54" s="354"/>
      <c r="AP54" s="99"/>
      <c r="AQ54" s="100"/>
      <c r="AR54" s="105"/>
      <c r="AS54" s="105"/>
      <c r="AT54" s="99"/>
      <c r="AU54" s="100"/>
      <c r="AV54" s="105"/>
      <c r="AW54" s="105"/>
      <c r="AX54" s="99"/>
      <c r="AY54" s="100"/>
      <c r="AZ54" s="105"/>
      <c r="BA54" s="105"/>
      <c r="BB54" s="99"/>
      <c r="BC54" s="100"/>
      <c r="BD54" s="105"/>
      <c r="BE54" s="105"/>
      <c r="BF54" s="99"/>
      <c r="BG54" s="100"/>
      <c r="BH54" s="105"/>
      <c r="BI54" s="105"/>
      <c r="BJ54" s="99"/>
      <c r="BK54" s="100"/>
      <c r="BL54" s="105"/>
      <c r="BM54" s="105"/>
      <c r="BN54" s="99"/>
      <c r="BO54" s="100"/>
      <c r="BP54" s="105"/>
      <c r="BQ54" s="105"/>
      <c r="BR54" s="99" t="s">
        <v>60</v>
      </c>
      <c r="BS54" s="100" t="s">
        <v>57</v>
      </c>
      <c r="BT54" s="105" t="s">
        <v>54</v>
      </c>
      <c r="BU54" s="105" t="s">
        <v>55</v>
      </c>
      <c r="BV54" s="99"/>
      <c r="BW54" s="100"/>
      <c r="BX54" s="105"/>
      <c r="BY54" s="105"/>
      <c r="BZ54" s="353" t="s">
        <v>123</v>
      </c>
      <c r="CA54" s="354"/>
      <c r="CB54" s="105"/>
      <c r="CC54" s="105"/>
      <c r="CD54" s="99"/>
      <c r="CE54" s="100"/>
      <c r="CF54" s="105"/>
      <c r="CG54" s="100"/>
      <c r="CH54" s="152"/>
      <c r="CI54" s="100"/>
      <c r="CJ54" s="105"/>
      <c r="CK54" s="100"/>
      <c r="CL54" s="152"/>
      <c r="CM54" s="100"/>
      <c r="CN54" s="105"/>
      <c r="CO54" s="100"/>
    </row>
    <row r="55" spans="1:93" ht="18.75" customHeight="1" thickBot="1">
      <c r="A55" s="285">
        <f t="shared" si="2"/>
        <v>50</v>
      </c>
      <c r="B55" s="423"/>
      <c r="C55" s="424"/>
      <c r="D55" s="106"/>
      <c r="E55" s="104"/>
      <c r="F55" s="106"/>
      <c r="G55" s="104"/>
      <c r="H55" s="106"/>
      <c r="I55" s="104"/>
      <c r="J55" s="106"/>
      <c r="K55" s="104"/>
      <c r="L55" s="106"/>
      <c r="M55" s="106"/>
      <c r="N55" s="103"/>
      <c r="O55" s="104"/>
      <c r="P55" s="106"/>
      <c r="Q55" s="106"/>
      <c r="R55" s="103"/>
      <c r="S55" s="104"/>
      <c r="T55" s="106"/>
      <c r="U55" s="106"/>
      <c r="V55" s="103"/>
      <c r="W55" s="104"/>
      <c r="X55" s="106"/>
      <c r="Y55" s="106"/>
      <c r="Z55" s="103"/>
      <c r="AA55" s="104"/>
      <c r="AB55" s="106"/>
      <c r="AC55" s="106"/>
      <c r="AD55" s="103"/>
      <c r="AE55" s="104"/>
      <c r="AF55" s="106" t="s">
        <v>60</v>
      </c>
      <c r="AG55" s="106" t="s">
        <v>55</v>
      </c>
      <c r="AH55" s="103" t="s">
        <v>57</v>
      </c>
      <c r="AI55" s="104" t="s">
        <v>57</v>
      </c>
      <c r="AJ55" s="106" t="s">
        <v>56</v>
      </c>
      <c r="AK55" s="106" t="s">
        <v>56</v>
      </c>
      <c r="AL55" s="103"/>
      <c r="AM55" s="104"/>
      <c r="AN55" s="355"/>
      <c r="AO55" s="356"/>
      <c r="AP55" s="103"/>
      <c r="AQ55" s="104"/>
      <c r="AR55" s="106"/>
      <c r="AS55" s="106"/>
      <c r="AT55" s="103"/>
      <c r="AU55" s="104"/>
      <c r="AV55" s="106"/>
      <c r="AW55" s="106"/>
      <c r="AX55" s="103"/>
      <c r="AY55" s="104"/>
      <c r="AZ55" s="106"/>
      <c r="BA55" s="106"/>
      <c r="BB55" s="103"/>
      <c r="BC55" s="104"/>
      <c r="BD55" s="106"/>
      <c r="BE55" s="106"/>
      <c r="BF55" s="103"/>
      <c r="BG55" s="104"/>
      <c r="BH55" s="106"/>
      <c r="BI55" s="106"/>
      <c r="BJ55" s="103"/>
      <c r="BK55" s="104"/>
      <c r="BL55" s="106"/>
      <c r="BM55" s="106"/>
      <c r="BN55" s="103"/>
      <c r="BO55" s="104"/>
      <c r="BP55" s="106"/>
      <c r="BQ55" s="106"/>
      <c r="BR55" s="103" t="s">
        <v>59</v>
      </c>
      <c r="BS55" s="104" t="s">
        <v>55</v>
      </c>
      <c r="BT55" s="106" t="s">
        <v>56</v>
      </c>
      <c r="BU55" s="106" t="s">
        <v>56</v>
      </c>
      <c r="BV55" s="103"/>
      <c r="BW55" s="104"/>
      <c r="BX55" s="106"/>
      <c r="BY55" s="106"/>
      <c r="BZ55" s="355"/>
      <c r="CA55" s="356"/>
      <c r="CB55" s="106"/>
      <c r="CC55" s="106"/>
      <c r="CD55" s="103"/>
      <c r="CE55" s="104"/>
      <c r="CF55" s="106"/>
      <c r="CG55" s="104"/>
      <c r="CH55" s="103"/>
      <c r="CI55" s="104"/>
      <c r="CJ55" s="106"/>
      <c r="CK55" s="104"/>
      <c r="CL55" s="103"/>
      <c r="CM55" s="104"/>
      <c r="CN55" s="106"/>
      <c r="CO55" s="104"/>
    </row>
    <row r="56" spans="1:93" ht="18.75" customHeight="1">
      <c r="A56" s="285">
        <f t="shared" si="2"/>
        <v>49</v>
      </c>
      <c r="B56" s="421">
        <v>49</v>
      </c>
      <c r="C56" s="422"/>
      <c r="D56" s="26"/>
      <c r="E56" s="102"/>
      <c r="F56" s="26"/>
      <c r="G56" s="102"/>
      <c r="H56" s="26"/>
      <c r="I56" s="102"/>
      <c r="J56" s="26"/>
      <c r="K56" s="102"/>
      <c r="L56" s="26"/>
      <c r="M56" s="26"/>
      <c r="N56" s="101"/>
      <c r="O56" s="102"/>
      <c r="P56" s="26"/>
      <c r="Q56" s="26"/>
      <c r="R56" s="101"/>
      <c r="S56" s="102"/>
      <c r="T56" s="26"/>
      <c r="U56" s="26"/>
      <c r="V56" s="101"/>
      <c r="W56" s="102"/>
      <c r="X56" s="26"/>
      <c r="Y56" s="26"/>
      <c r="Z56" s="101"/>
      <c r="AA56" s="102"/>
      <c r="AB56" s="26"/>
      <c r="AC56" s="26"/>
      <c r="AD56" s="101"/>
      <c r="AE56" s="102"/>
      <c r="AF56" s="26"/>
      <c r="AG56" s="26"/>
      <c r="AH56" s="101"/>
      <c r="AI56" s="102"/>
      <c r="AJ56" s="26"/>
      <c r="AK56" s="26"/>
      <c r="AL56" s="101"/>
      <c r="AM56" s="102"/>
      <c r="AN56" s="26"/>
      <c r="AO56" s="26"/>
      <c r="AP56" s="101"/>
      <c r="AQ56" s="102"/>
      <c r="AR56" s="26"/>
      <c r="AS56" s="26"/>
      <c r="AT56" s="101"/>
      <c r="AU56" s="102"/>
      <c r="AV56" s="26"/>
      <c r="AW56" s="26"/>
      <c r="AX56" s="101"/>
      <c r="AY56" s="102"/>
      <c r="AZ56" s="26"/>
      <c r="BA56" s="26"/>
      <c r="BB56" s="101"/>
      <c r="BC56" s="102"/>
      <c r="BD56" s="26"/>
      <c r="BE56" s="26"/>
      <c r="BF56" s="101"/>
      <c r="BG56" s="102"/>
      <c r="BH56" s="26"/>
      <c r="BI56" s="26"/>
      <c r="BJ56" s="101"/>
      <c r="BK56" s="102"/>
      <c r="BL56" s="26"/>
      <c r="BM56" s="26"/>
      <c r="BN56" s="101"/>
      <c r="BO56" s="102"/>
      <c r="BP56" s="26"/>
      <c r="BQ56" s="26"/>
      <c r="BR56" s="101"/>
      <c r="BS56" s="102"/>
      <c r="BT56" s="26"/>
      <c r="BU56" s="26"/>
      <c r="BV56" s="101"/>
      <c r="BW56" s="102"/>
      <c r="BX56" s="26"/>
      <c r="BY56" s="26"/>
      <c r="BZ56" s="101"/>
      <c r="CA56" s="102"/>
      <c r="CB56" s="26"/>
      <c r="CC56" s="26"/>
      <c r="CD56" s="101"/>
      <c r="CE56" s="102"/>
      <c r="CF56" s="26"/>
      <c r="CG56" s="102"/>
      <c r="CH56" s="101"/>
      <c r="CI56" s="102"/>
      <c r="CJ56" s="26"/>
      <c r="CK56" s="102"/>
      <c r="CL56" s="101"/>
      <c r="CM56" s="102"/>
      <c r="CN56" s="26"/>
      <c r="CO56" s="102"/>
    </row>
    <row r="57" spans="1:93" ht="18.75" customHeight="1" thickBot="1">
      <c r="A57" s="285">
        <f t="shared" si="2"/>
        <v>49</v>
      </c>
      <c r="B57" s="423"/>
      <c r="C57" s="424"/>
      <c r="D57" s="26"/>
      <c r="E57" s="102"/>
      <c r="F57" s="26"/>
      <c r="G57" s="102"/>
      <c r="H57" s="26"/>
      <c r="I57" s="102"/>
      <c r="J57" s="26"/>
      <c r="K57" s="102"/>
      <c r="L57" s="26"/>
      <c r="M57" s="26"/>
      <c r="N57" s="101"/>
      <c r="O57" s="102"/>
      <c r="P57" s="26"/>
      <c r="Q57" s="26"/>
      <c r="R57" s="101"/>
      <c r="S57" s="102"/>
      <c r="T57" s="26"/>
      <c r="U57" s="26"/>
      <c r="V57" s="101"/>
      <c r="W57" s="102"/>
      <c r="X57" s="26"/>
      <c r="Y57" s="26"/>
      <c r="Z57" s="101"/>
      <c r="AA57" s="102"/>
      <c r="AB57" s="26"/>
      <c r="AC57" s="26"/>
      <c r="AD57" s="101"/>
      <c r="AE57" s="102"/>
      <c r="AF57" s="26"/>
      <c r="AG57" s="26"/>
      <c r="AH57" s="101"/>
      <c r="AI57" s="102"/>
      <c r="AJ57" s="26"/>
      <c r="AK57" s="26"/>
      <c r="AL57" s="101"/>
      <c r="AM57" s="102"/>
      <c r="AN57" s="26"/>
      <c r="AO57" s="26"/>
      <c r="AP57" s="101"/>
      <c r="AQ57" s="102"/>
      <c r="AR57" s="26"/>
      <c r="AS57" s="26"/>
      <c r="AT57" s="101"/>
      <c r="AU57" s="102"/>
      <c r="AV57" s="26"/>
      <c r="AW57" s="26"/>
      <c r="AX57" s="101"/>
      <c r="AY57" s="102"/>
      <c r="AZ57" s="26"/>
      <c r="BA57" s="26"/>
      <c r="BB57" s="101"/>
      <c r="BC57" s="102"/>
      <c r="BD57" s="26"/>
      <c r="BE57" s="26"/>
      <c r="BF57" s="101"/>
      <c r="BG57" s="102"/>
      <c r="BH57" s="26"/>
      <c r="BI57" s="26"/>
      <c r="BJ57" s="101"/>
      <c r="BK57" s="102"/>
      <c r="BL57" s="26"/>
      <c r="BM57" s="26"/>
      <c r="BN57" s="101"/>
      <c r="BO57" s="102"/>
      <c r="BP57" s="26"/>
      <c r="BQ57" s="26"/>
      <c r="BR57" s="101"/>
      <c r="BS57" s="102"/>
      <c r="BT57" s="26"/>
      <c r="BU57" s="26"/>
      <c r="BV57" s="101"/>
      <c r="BW57" s="102"/>
      <c r="BX57" s="26"/>
      <c r="BY57" s="26"/>
      <c r="BZ57" s="101"/>
      <c r="CA57" s="102"/>
      <c r="CB57" s="26"/>
      <c r="CC57" s="26"/>
      <c r="CD57" s="101"/>
      <c r="CE57" s="102"/>
      <c r="CF57" s="26"/>
      <c r="CG57" s="102"/>
      <c r="CH57" s="101"/>
      <c r="CI57" s="102"/>
      <c r="CJ57" s="26"/>
      <c r="CK57" s="102"/>
      <c r="CL57" s="101"/>
      <c r="CM57" s="102"/>
      <c r="CN57" s="26"/>
      <c r="CO57" s="102"/>
    </row>
    <row r="58" spans="1:93" ht="18.75" customHeight="1" thickTop="1">
      <c r="A58" s="285">
        <f t="shared" si="2"/>
        <v>48</v>
      </c>
      <c r="B58" s="421">
        <v>48</v>
      </c>
      <c r="C58" s="422"/>
      <c r="D58" s="105"/>
      <c r="E58" s="100"/>
      <c r="F58" s="105"/>
      <c r="G58" s="100"/>
      <c r="H58" s="105"/>
      <c r="I58" s="100"/>
      <c r="J58" s="105"/>
      <c r="K58" s="100"/>
      <c r="L58" s="105"/>
      <c r="M58" s="105"/>
      <c r="N58" s="99"/>
      <c r="O58" s="100"/>
      <c r="P58" s="105"/>
      <c r="Q58" s="105"/>
      <c r="R58" s="99"/>
      <c r="S58" s="100"/>
      <c r="T58" s="105"/>
      <c r="U58" s="105"/>
      <c r="V58" s="99"/>
      <c r="W58" s="100"/>
      <c r="X58" s="105"/>
      <c r="Y58" s="105"/>
      <c r="Z58" s="99"/>
      <c r="AA58" s="100"/>
      <c r="AB58" s="105"/>
      <c r="AC58" s="105"/>
      <c r="AD58" s="99"/>
      <c r="AE58" s="100"/>
      <c r="AF58" s="105"/>
      <c r="AG58" s="105"/>
      <c r="AH58" s="99"/>
      <c r="AI58" s="100"/>
      <c r="AJ58" s="105"/>
      <c r="AK58" s="105"/>
      <c r="AL58" s="99"/>
      <c r="AM58" s="100"/>
      <c r="AN58" s="105"/>
      <c r="AO58" s="105"/>
      <c r="AP58" s="99"/>
      <c r="AQ58" s="100"/>
      <c r="AR58" s="105"/>
      <c r="AS58" s="105"/>
      <c r="AT58" s="99"/>
      <c r="AU58" s="100"/>
      <c r="AV58" s="105"/>
      <c r="AW58" s="105"/>
      <c r="AX58" s="99"/>
      <c r="AY58" s="100"/>
      <c r="AZ58" s="105"/>
      <c r="BA58" s="105"/>
      <c r="BB58" s="99"/>
      <c r="BC58" s="100"/>
      <c r="BD58" s="105"/>
      <c r="BE58" s="105"/>
      <c r="BF58" s="99"/>
      <c r="BG58" s="100"/>
      <c r="BH58" s="105"/>
      <c r="BI58" s="105"/>
      <c r="BJ58" s="99"/>
      <c r="BK58" s="100"/>
      <c r="BL58" s="105"/>
      <c r="BM58" s="105"/>
      <c r="BN58" s="99"/>
      <c r="BO58" s="100"/>
      <c r="BP58" s="105"/>
      <c r="BQ58" s="105"/>
      <c r="BR58" s="99"/>
      <c r="BS58" s="100"/>
      <c r="BT58" s="105"/>
      <c r="BU58" s="105"/>
      <c r="BV58" s="99"/>
      <c r="BW58" s="100"/>
      <c r="BX58" s="105"/>
      <c r="BY58" s="105"/>
      <c r="BZ58" s="99"/>
      <c r="CA58" s="100"/>
      <c r="CB58" s="105"/>
      <c r="CC58" s="105"/>
      <c r="CD58" s="99"/>
      <c r="CE58" s="100"/>
      <c r="CF58" s="105"/>
      <c r="CG58" s="100"/>
      <c r="CH58" s="152"/>
      <c r="CI58" s="100"/>
      <c r="CJ58" s="105"/>
      <c r="CK58" s="100"/>
      <c r="CL58" s="152"/>
      <c r="CM58" s="100"/>
      <c r="CN58" s="105"/>
      <c r="CO58" s="100"/>
    </row>
    <row r="59" spans="1:93" ht="18.75" customHeight="1" thickBot="1">
      <c r="A59" s="285">
        <f t="shared" si="2"/>
        <v>48</v>
      </c>
      <c r="B59" s="423"/>
      <c r="C59" s="424"/>
      <c r="D59" s="106"/>
      <c r="E59" s="104"/>
      <c r="F59" s="106"/>
      <c r="G59" s="104"/>
      <c r="H59" s="106"/>
      <c r="I59" s="104"/>
      <c r="J59" s="106"/>
      <c r="K59" s="104"/>
      <c r="L59" s="106"/>
      <c r="M59" s="106"/>
      <c r="N59" s="103"/>
      <c r="O59" s="104"/>
      <c r="P59" s="106"/>
      <c r="Q59" s="106"/>
      <c r="R59" s="103"/>
      <c r="S59" s="104"/>
      <c r="T59" s="106"/>
      <c r="U59" s="106"/>
      <c r="V59" s="103"/>
      <c r="W59" s="104"/>
      <c r="X59" s="106"/>
      <c r="Y59" s="106"/>
      <c r="Z59" s="103"/>
      <c r="AA59" s="104"/>
      <c r="AB59" s="106"/>
      <c r="AC59" s="106"/>
      <c r="AD59" s="103"/>
      <c r="AE59" s="104"/>
      <c r="AF59" s="106"/>
      <c r="AG59" s="106"/>
      <c r="AH59" s="103"/>
      <c r="AI59" s="104"/>
      <c r="AJ59" s="106"/>
      <c r="AK59" s="106"/>
      <c r="AL59" s="103"/>
      <c r="AM59" s="104"/>
      <c r="AN59" s="106"/>
      <c r="AO59" s="106"/>
      <c r="AP59" s="103"/>
      <c r="AQ59" s="104"/>
      <c r="AR59" s="106"/>
      <c r="AS59" s="106"/>
      <c r="AT59" s="103"/>
      <c r="AU59" s="104"/>
      <c r="AV59" s="106"/>
      <c r="AW59" s="106"/>
      <c r="AX59" s="103"/>
      <c r="AY59" s="104"/>
      <c r="AZ59" s="106"/>
      <c r="BA59" s="106"/>
      <c r="BB59" s="103"/>
      <c r="BC59" s="104"/>
      <c r="BD59" s="106"/>
      <c r="BE59" s="106"/>
      <c r="BF59" s="103"/>
      <c r="BG59" s="104"/>
      <c r="BH59" s="106"/>
      <c r="BI59" s="106"/>
      <c r="BJ59" s="103"/>
      <c r="BK59" s="104"/>
      <c r="BL59" s="106"/>
      <c r="BM59" s="106"/>
      <c r="BN59" s="103"/>
      <c r="BO59" s="104"/>
      <c r="BP59" s="106"/>
      <c r="BQ59" s="106"/>
      <c r="BR59" s="103"/>
      <c r="BS59" s="104"/>
      <c r="BT59" s="106"/>
      <c r="BU59" s="106"/>
      <c r="BV59" s="103"/>
      <c r="BW59" s="104"/>
      <c r="BX59" s="106"/>
      <c r="BY59" s="106"/>
      <c r="BZ59" s="103"/>
      <c r="CA59" s="104"/>
      <c r="CB59" s="106"/>
      <c r="CC59" s="106"/>
      <c r="CD59" s="103"/>
      <c r="CE59" s="104"/>
      <c r="CF59" s="106"/>
      <c r="CG59" s="104"/>
      <c r="CH59" s="103"/>
      <c r="CI59" s="104"/>
      <c r="CJ59" s="106"/>
      <c r="CK59" s="104"/>
      <c r="CL59" s="103"/>
      <c r="CM59" s="104"/>
      <c r="CN59" s="106"/>
      <c r="CO59" s="104"/>
    </row>
    <row r="60" spans="1:93" ht="18.75" customHeight="1">
      <c r="A60" s="285">
        <f t="shared" si="2"/>
        <v>47</v>
      </c>
      <c r="B60" s="421">
        <v>47</v>
      </c>
      <c r="C60" s="422"/>
      <c r="D60" s="26"/>
      <c r="E60" s="102"/>
      <c r="F60" s="26"/>
      <c r="G60" s="102"/>
      <c r="H60" s="26"/>
      <c r="I60" s="102"/>
      <c r="J60" s="26"/>
      <c r="K60" s="102"/>
      <c r="L60" s="26"/>
      <c r="M60" s="26"/>
      <c r="N60" s="101"/>
      <c r="O60" s="102"/>
      <c r="P60" s="26"/>
      <c r="Q60" s="26"/>
      <c r="R60" s="101"/>
      <c r="S60" s="102"/>
      <c r="T60" s="26"/>
      <c r="U60" s="26"/>
      <c r="V60" s="101"/>
      <c r="W60" s="102"/>
      <c r="X60" s="26"/>
      <c r="Y60" s="26"/>
      <c r="Z60" s="101"/>
      <c r="AA60" s="102"/>
      <c r="AB60" s="26"/>
      <c r="AC60" s="26"/>
      <c r="AD60" s="101"/>
      <c r="AE60" s="102"/>
      <c r="AF60" s="26"/>
      <c r="AG60" s="26"/>
      <c r="AH60" s="101"/>
      <c r="AI60" s="102"/>
      <c r="AJ60" s="26"/>
      <c r="AK60" s="26"/>
      <c r="AL60" s="101"/>
      <c r="AM60" s="102"/>
      <c r="AN60" s="26"/>
      <c r="AO60" s="26"/>
      <c r="AP60" s="101"/>
      <c r="AQ60" s="102"/>
      <c r="AR60" s="26"/>
      <c r="AS60" s="26"/>
      <c r="AT60" s="101"/>
      <c r="AU60" s="102"/>
      <c r="AV60" s="26"/>
      <c r="AW60" s="26"/>
      <c r="AX60" s="101"/>
      <c r="AY60" s="102"/>
      <c r="AZ60" s="26"/>
      <c r="BA60" s="26"/>
      <c r="BB60" s="101"/>
      <c r="BC60" s="102"/>
      <c r="BD60" s="26"/>
      <c r="BE60" s="26"/>
      <c r="BF60" s="101"/>
      <c r="BG60" s="102"/>
      <c r="BH60" s="26"/>
      <c r="BI60" s="26"/>
      <c r="BJ60" s="101"/>
      <c r="BK60" s="102"/>
      <c r="BL60" s="26"/>
      <c r="BM60" s="26"/>
      <c r="BN60" s="101"/>
      <c r="BO60" s="102"/>
      <c r="BP60" s="26"/>
      <c r="BQ60" s="26"/>
      <c r="BR60" s="101"/>
      <c r="BS60" s="102"/>
      <c r="BT60" s="26"/>
      <c r="BU60" s="26"/>
      <c r="BV60" s="101"/>
      <c r="BW60" s="102"/>
      <c r="BX60" s="26"/>
      <c r="BY60" s="26"/>
      <c r="BZ60" s="101"/>
      <c r="CA60" s="102"/>
      <c r="CB60" s="26"/>
      <c r="CC60" s="26"/>
      <c r="CD60" s="101"/>
      <c r="CE60" s="102"/>
      <c r="CF60" s="26"/>
      <c r="CG60" s="102"/>
      <c r="CH60" s="101"/>
      <c r="CI60" s="102"/>
      <c r="CJ60" s="26"/>
      <c r="CK60" s="102"/>
      <c r="CL60" s="101"/>
      <c r="CM60" s="102"/>
      <c r="CN60" s="26"/>
      <c r="CO60" s="102"/>
    </row>
    <row r="61" spans="1:93" ht="18.75" customHeight="1" thickBot="1">
      <c r="A61" s="285">
        <f t="shared" si="2"/>
        <v>47</v>
      </c>
      <c r="B61" s="423"/>
      <c r="C61" s="424"/>
      <c r="D61" s="26"/>
      <c r="E61" s="102"/>
      <c r="F61" s="26"/>
      <c r="G61" s="102"/>
      <c r="H61" s="26"/>
      <c r="I61" s="102"/>
      <c r="J61" s="26"/>
      <c r="K61" s="102"/>
      <c r="L61" s="26"/>
      <c r="M61" s="26"/>
      <c r="N61" s="101"/>
      <c r="O61" s="102"/>
      <c r="P61" s="26"/>
      <c r="Q61" s="26"/>
      <c r="R61" s="101"/>
      <c r="S61" s="102"/>
      <c r="T61" s="26"/>
      <c r="U61" s="26"/>
      <c r="V61" s="101"/>
      <c r="W61" s="102"/>
      <c r="X61" s="26"/>
      <c r="Y61" s="26"/>
      <c r="Z61" s="101"/>
      <c r="AA61" s="102"/>
      <c r="AB61" s="26"/>
      <c r="AC61" s="26"/>
      <c r="AD61" s="101"/>
      <c r="AE61" s="102"/>
      <c r="AF61" s="26"/>
      <c r="AG61" s="26"/>
      <c r="AH61" s="101"/>
      <c r="AI61" s="102"/>
      <c r="AJ61" s="26"/>
      <c r="AK61" s="26"/>
      <c r="AL61" s="101"/>
      <c r="AM61" s="102"/>
      <c r="AN61" s="26"/>
      <c r="AO61" s="26"/>
      <c r="AP61" s="101"/>
      <c r="AQ61" s="102"/>
      <c r="AR61" s="26"/>
      <c r="AS61" s="26"/>
      <c r="AT61" s="101"/>
      <c r="AU61" s="102"/>
      <c r="AV61" s="26"/>
      <c r="AW61" s="26"/>
      <c r="AX61" s="101"/>
      <c r="AY61" s="102"/>
      <c r="AZ61" s="26"/>
      <c r="BA61" s="26"/>
      <c r="BB61" s="101"/>
      <c r="BC61" s="102"/>
      <c r="BD61" s="26"/>
      <c r="BE61" s="26"/>
      <c r="BF61" s="101"/>
      <c r="BG61" s="102"/>
      <c r="BH61" s="26"/>
      <c r="BI61" s="26"/>
      <c r="BJ61" s="101"/>
      <c r="BK61" s="102"/>
      <c r="BL61" s="26"/>
      <c r="BM61" s="26"/>
      <c r="BN61" s="101"/>
      <c r="BO61" s="102"/>
      <c r="BP61" s="26"/>
      <c r="BQ61" s="26"/>
      <c r="BR61" s="101"/>
      <c r="BS61" s="102"/>
      <c r="BT61" s="26"/>
      <c r="BU61" s="26"/>
      <c r="BV61" s="101"/>
      <c r="BW61" s="102"/>
      <c r="BX61" s="26"/>
      <c r="BY61" s="26"/>
      <c r="BZ61" s="101"/>
      <c r="CA61" s="102"/>
      <c r="CB61" s="26"/>
      <c r="CC61" s="26"/>
      <c r="CD61" s="101"/>
      <c r="CE61" s="102"/>
      <c r="CF61" s="26"/>
      <c r="CG61" s="102"/>
      <c r="CH61" s="101"/>
      <c r="CI61" s="102"/>
      <c r="CJ61" s="26"/>
      <c r="CK61" s="102"/>
      <c r="CL61" s="101"/>
      <c r="CM61" s="102"/>
      <c r="CN61" s="26"/>
      <c r="CO61" s="102"/>
    </row>
    <row r="62" spans="1:93" ht="18.75" customHeight="1" thickTop="1">
      <c r="A62" s="285">
        <f t="shared" si="2"/>
        <v>46</v>
      </c>
      <c r="B62" s="421">
        <v>46</v>
      </c>
      <c r="C62" s="422"/>
      <c r="D62" s="105"/>
      <c r="E62" s="100"/>
      <c r="F62" s="105"/>
      <c r="G62" s="100"/>
      <c r="H62" s="105"/>
      <c r="I62" s="100"/>
      <c r="J62" s="105"/>
      <c r="K62" s="100"/>
      <c r="L62" s="105"/>
      <c r="M62" s="105"/>
      <c r="N62" s="99"/>
      <c r="O62" s="100"/>
      <c r="P62" s="105"/>
      <c r="Q62" s="105"/>
      <c r="R62" s="99"/>
      <c r="S62" s="100"/>
      <c r="T62" s="105"/>
      <c r="U62" s="105"/>
      <c r="V62" s="99"/>
      <c r="W62" s="100"/>
      <c r="X62" s="105"/>
      <c r="Y62" s="105"/>
      <c r="Z62" s="99"/>
      <c r="AA62" s="100"/>
      <c r="AB62" s="105"/>
      <c r="AC62" s="105"/>
      <c r="AD62" s="99"/>
      <c r="AE62" s="100"/>
      <c r="AF62" s="105"/>
      <c r="AG62" s="105"/>
      <c r="AH62" s="99"/>
      <c r="AI62" s="100"/>
      <c r="AJ62" s="105"/>
      <c r="AK62" s="105"/>
      <c r="AL62" s="99"/>
      <c r="AM62" s="100"/>
      <c r="AN62" s="105"/>
      <c r="AO62" s="105"/>
      <c r="AP62" s="99"/>
      <c r="AQ62" s="100"/>
      <c r="AR62" s="105"/>
      <c r="AS62" s="105"/>
      <c r="AT62" s="99"/>
      <c r="AU62" s="100"/>
      <c r="AV62" s="105"/>
      <c r="AW62" s="105"/>
      <c r="AX62" s="99"/>
      <c r="AY62" s="100"/>
      <c r="AZ62" s="105"/>
      <c r="BA62" s="105"/>
      <c r="BB62" s="99"/>
      <c r="BC62" s="100"/>
      <c r="BD62" s="105"/>
      <c r="BE62" s="105"/>
      <c r="BF62" s="99"/>
      <c r="BG62" s="100"/>
      <c r="BH62" s="105"/>
      <c r="BI62" s="105"/>
      <c r="BJ62" s="99"/>
      <c r="BK62" s="100"/>
      <c r="BL62" s="105"/>
      <c r="BM62" s="105"/>
      <c r="BN62" s="99"/>
      <c r="BO62" s="100"/>
      <c r="BP62" s="105"/>
      <c r="BQ62" s="105"/>
      <c r="BR62" s="99"/>
      <c r="BS62" s="100"/>
      <c r="BT62" s="105"/>
      <c r="BU62" s="105"/>
      <c r="BV62" s="99"/>
      <c r="BW62" s="100"/>
      <c r="BX62" s="105"/>
      <c r="BY62" s="105"/>
      <c r="BZ62" s="99"/>
      <c r="CA62" s="100"/>
      <c r="CB62" s="105"/>
      <c r="CC62" s="105"/>
      <c r="CD62" s="99"/>
      <c r="CE62" s="100"/>
      <c r="CF62" s="105"/>
      <c r="CG62" s="100"/>
      <c r="CH62" s="152"/>
      <c r="CI62" s="100"/>
      <c r="CJ62" s="105"/>
      <c r="CK62" s="100"/>
      <c r="CL62" s="152"/>
      <c r="CM62" s="100"/>
      <c r="CN62" s="105"/>
      <c r="CO62" s="100"/>
    </row>
    <row r="63" spans="1:93" ht="18.75" customHeight="1" thickBot="1">
      <c r="A63" s="285">
        <f t="shared" si="2"/>
        <v>46</v>
      </c>
      <c r="B63" s="423"/>
      <c r="C63" s="424"/>
      <c r="D63" s="106"/>
      <c r="E63" s="104"/>
      <c r="F63" s="106"/>
      <c r="G63" s="104"/>
      <c r="H63" s="106"/>
      <c r="I63" s="104"/>
      <c r="J63" s="106"/>
      <c r="K63" s="104"/>
      <c r="L63" s="106"/>
      <c r="M63" s="106"/>
      <c r="N63" s="103"/>
      <c r="O63" s="104"/>
      <c r="P63" s="106"/>
      <c r="Q63" s="106"/>
      <c r="R63" s="103"/>
      <c r="S63" s="104"/>
      <c r="T63" s="106"/>
      <c r="U63" s="106"/>
      <c r="V63" s="103"/>
      <c r="W63" s="104"/>
      <c r="X63" s="106"/>
      <c r="Y63" s="106"/>
      <c r="Z63" s="103"/>
      <c r="AA63" s="104"/>
      <c r="AB63" s="106"/>
      <c r="AC63" s="106"/>
      <c r="AD63" s="103"/>
      <c r="AE63" s="104"/>
      <c r="AF63" s="106"/>
      <c r="AG63" s="106"/>
      <c r="AH63" s="103"/>
      <c r="AI63" s="104"/>
      <c r="AJ63" s="106"/>
      <c r="AK63" s="106"/>
      <c r="AL63" s="103"/>
      <c r="AM63" s="104"/>
      <c r="AN63" s="106"/>
      <c r="AO63" s="106"/>
      <c r="AP63" s="103"/>
      <c r="AQ63" s="104"/>
      <c r="AR63" s="106"/>
      <c r="AS63" s="106"/>
      <c r="AT63" s="103"/>
      <c r="AU63" s="104"/>
      <c r="AV63" s="106"/>
      <c r="AW63" s="106"/>
      <c r="AX63" s="103"/>
      <c r="AY63" s="104"/>
      <c r="AZ63" s="106"/>
      <c r="BA63" s="106"/>
      <c r="BB63" s="103"/>
      <c r="BC63" s="104"/>
      <c r="BD63" s="106"/>
      <c r="BE63" s="106"/>
      <c r="BF63" s="103"/>
      <c r="BG63" s="104"/>
      <c r="BH63" s="106"/>
      <c r="BI63" s="106"/>
      <c r="BJ63" s="103"/>
      <c r="BK63" s="104"/>
      <c r="BL63" s="106"/>
      <c r="BM63" s="106"/>
      <c r="BN63" s="103"/>
      <c r="BO63" s="104"/>
      <c r="BP63" s="106"/>
      <c r="BQ63" s="106"/>
      <c r="BR63" s="103"/>
      <c r="BS63" s="104"/>
      <c r="BT63" s="106"/>
      <c r="BU63" s="106"/>
      <c r="BV63" s="103"/>
      <c r="BW63" s="104"/>
      <c r="BX63" s="106"/>
      <c r="BY63" s="106"/>
      <c r="BZ63" s="103"/>
      <c r="CA63" s="104"/>
      <c r="CB63" s="106"/>
      <c r="CC63" s="106"/>
      <c r="CD63" s="103"/>
      <c r="CE63" s="104"/>
      <c r="CF63" s="106"/>
      <c r="CG63" s="104"/>
      <c r="CH63" s="103"/>
      <c r="CI63" s="104"/>
      <c r="CJ63" s="106"/>
      <c r="CK63" s="104"/>
      <c r="CL63" s="103"/>
      <c r="CM63" s="104"/>
      <c r="CN63" s="106"/>
      <c r="CO63" s="104"/>
    </row>
  </sheetData>
  <mergeCells count="183">
    <mergeCell ref="CH2:CI3"/>
    <mergeCell ref="CJ2:CK3"/>
    <mergeCell ref="CL2:CM3"/>
    <mergeCell ref="CN2:CO3"/>
    <mergeCell ref="B62:C63"/>
    <mergeCell ref="BZ2:CA3"/>
    <mergeCell ref="CB2:CC3"/>
    <mergeCell ref="CD2:CE3"/>
    <mergeCell ref="CF2:CG3"/>
    <mergeCell ref="B52:C53"/>
    <mergeCell ref="B54:C55"/>
    <mergeCell ref="B56:C57"/>
    <mergeCell ref="B58:C59"/>
    <mergeCell ref="B60:C61"/>
    <mergeCell ref="BL42:BM43"/>
    <mergeCell ref="BN42:BO43"/>
    <mergeCell ref="BN40:BO41"/>
    <mergeCell ref="BP46:BQ47"/>
    <mergeCell ref="BR2:BS3"/>
    <mergeCell ref="BT2:BU3"/>
    <mergeCell ref="BV2:BW3"/>
    <mergeCell ref="BX2:BY3"/>
    <mergeCell ref="BJ2:BK3"/>
    <mergeCell ref="BL2:BM3"/>
    <mergeCell ref="BN2:BO3"/>
    <mergeCell ref="N24:O25"/>
    <mergeCell ref="BP2:BQ3"/>
    <mergeCell ref="B50:C51"/>
    <mergeCell ref="B48:C49"/>
    <mergeCell ref="B4:C5"/>
    <mergeCell ref="BF2:BG3"/>
    <mergeCell ref="BH2:BI3"/>
    <mergeCell ref="BB38:BC39"/>
    <mergeCell ref="BD38:BE39"/>
    <mergeCell ref="BF40:BG41"/>
    <mergeCell ref="BH40:BI41"/>
    <mergeCell ref="P2:Q3"/>
    <mergeCell ref="N2:O3"/>
    <mergeCell ref="L2:M3"/>
    <mergeCell ref="J2:K3"/>
    <mergeCell ref="B2:C3"/>
    <mergeCell ref="Z2:AA3"/>
    <mergeCell ref="X2:Y3"/>
    <mergeCell ref="V2:W3"/>
    <mergeCell ref="T2:U3"/>
    <mergeCell ref="R2:S3"/>
    <mergeCell ref="B6:C7"/>
    <mergeCell ref="BD2:BE3"/>
    <mergeCell ref="BB2:BC3"/>
    <mergeCell ref="AZ2:BA3"/>
    <mergeCell ref="AX2:AY3"/>
    <mergeCell ref="AV2:AW3"/>
    <mergeCell ref="AT2:AU3"/>
    <mergeCell ref="AR2:AS3"/>
    <mergeCell ref="AP2:AQ3"/>
    <mergeCell ref="AN2:AO3"/>
    <mergeCell ref="AL2:AM3"/>
    <mergeCell ref="AJ2:AK3"/>
    <mergeCell ref="AH2:AI3"/>
    <mergeCell ref="AF2:AG3"/>
    <mergeCell ref="AD2:AE3"/>
    <mergeCell ref="AB2:AC3"/>
    <mergeCell ref="D2:E3"/>
    <mergeCell ref="F2:G3"/>
    <mergeCell ref="H2:I3"/>
    <mergeCell ref="B16:C17"/>
    <mergeCell ref="B14:C15"/>
    <mergeCell ref="B12:C13"/>
    <mergeCell ref="B10:C11"/>
    <mergeCell ref="B8:C9"/>
    <mergeCell ref="AJ12:AK13"/>
    <mergeCell ref="AJ14:AK15"/>
    <mergeCell ref="B46:C47"/>
    <mergeCell ref="B44:C45"/>
    <mergeCell ref="B42:C43"/>
    <mergeCell ref="B40:C41"/>
    <mergeCell ref="B38:C39"/>
    <mergeCell ref="T30:U31"/>
    <mergeCell ref="R30:S31"/>
    <mergeCell ref="R26:S27"/>
    <mergeCell ref="T24:U25"/>
    <mergeCell ref="T26:U27"/>
    <mergeCell ref="B26:C27"/>
    <mergeCell ref="B24:C25"/>
    <mergeCell ref="B18:C19"/>
    <mergeCell ref="B36:C37"/>
    <mergeCell ref="B34:C35"/>
    <mergeCell ref="B32:C33"/>
    <mergeCell ref="B30:C31"/>
    <mergeCell ref="B28:C29"/>
    <mergeCell ref="Z24:AA25"/>
    <mergeCell ref="BL34:BM35"/>
    <mergeCell ref="BN34:BO35"/>
    <mergeCell ref="AB20:AC21"/>
    <mergeCell ref="AF22:AG23"/>
    <mergeCell ref="AH32:AI33"/>
    <mergeCell ref="AH30:AI31"/>
    <mergeCell ref="AL20:AM21"/>
    <mergeCell ref="AF34:AG35"/>
    <mergeCell ref="B22:C23"/>
    <mergeCell ref="B20:C21"/>
    <mergeCell ref="BH28:BI29"/>
    <mergeCell ref="BL22:BM23"/>
    <mergeCell ref="BN20:BO21"/>
    <mergeCell ref="Z30:AA31"/>
    <mergeCell ref="X34:Y35"/>
    <mergeCell ref="V34:W35"/>
    <mergeCell ref="AN28:AO29"/>
    <mergeCell ref="N20:O21"/>
    <mergeCell ref="X36:Y37"/>
    <mergeCell ref="CB34:CC35"/>
    <mergeCell ref="BJ26:BK27"/>
    <mergeCell ref="BR50:BS51"/>
    <mergeCell ref="AJ28:AK29"/>
    <mergeCell ref="AP40:AQ41"/>
    <mergeCell ref="AL36:AM37"/>
    <mergeCell ref="AL34:AM35"/>
    <mergeCell ref="AP36:AQ37"/>
    <mergeCell ref="AP34:AQ35"/>
    <mergeCell ref="AR36:AS37"/>
    <mergeCell ref="AT34:AU35"/>
    <mergeCell ref="BJ28:BK29"/>
    <mergeCell ref="AZ32:BA33"/>
    <mergeCell ref="BB32:BC33"/>
    <mergeCell ref="BH34:BI35"/>
    <mergeCell ref="BJ32:BK33"/>
    <mergeCell ref="AV28:AW29"/>
    <mergeCell ref="AN30:AO31"/>
    <mergeCell ref="AL28:AM29"/>
    <mergeCell ref="BP36:BQ37"/>
    <mergeCell ref="BR38:BS39"/>
    <mergeCell ref="AT26:AU27"/>
    <mergeCell ref="BZ32:CA33"/>
    <mergeCell ref="BV42:BW43"/>
    <mergeCell ref="AL42:AM43"/>
    <mergeCell ref="AP48:AQ49"/>
    <mergeCell ref="BP28:BQ29"/>
    <mergeCell ref="AN16:AO17"/>
    <mergeCell ref="AR18:AS19"/>
    <mergeCell ref="BD24:BE25"/>
    <mergeCell ref="BB18:BC19"/>
    <mergeCell ref="BB22:BC23"/>
    <mergeCell ref="AV22:AW23"/>
    <mergeCell ref="AV24:AW25"/>
    <mergeCell ref="AT20:AU21"/>
    <mergeCell ref="AR24:AS25"/>
    <mergeCell ref="BT24:BU25"/>
    <mergeCell ref="BV22:BW23"/>
    <mergeCell ref="BZ38:CA39"/>
    <mergeCell ref="BZ44:CA45"/>
    <mergeCell ref="BH10:BI11"/>
    <mergeCell ref="BR16:BS17"/>
    <mergeCell ref="BF46:BG47"/>
    <mergeCell ref="AZ46:BA47"/>
    <mergeCell ref="AV42:AW43"/>
    <mergeCell ref="AR6:AS7"/>
    <mergeCell ref="AL6:AM7"/>
    <mergeCell ref="AD14:AE15"/>
    <mergeCell ref="AB22:AC23"/>
    <mergeCell ref="AB32:AC33"/>
    <mergeCell ref="AR42:AS43"/>
    <mergeCell ref="AX38:AY39"/>
    <mergeCell ref="AN12:AO13"/>
    <mergeCell ref="AP12:AQ13"/>
    <mergeCell ref="AP8:AQ9"/>
    <mergeCell ref="AP10:AQ11"/>
    <mergeCell ref="AT12:AU13"/>
    <mergeCell ref="AV12:AW13"/>
    <mergeCell ref="AV14:AW15"/>
    <mergeCell ref="AZ14:BA15"/>
    <mergeCell ref="AV26:AW27"/>
    <mergeCell ref="BZ50:CA51"/>
    <mergeCell ref="BZ54:CA55"/>
    <mergeCell ref="Z38:AA39"/>
    <mergeCell ref="AF40:AG41"/>
    <mergeCell ref="AH44:AI45"/>
    <mergeCell ref="AT52:AU53"/>
    <mergeCell ref="AN52:AO53"/>
    <mergeCell ref="AN54:AO55"/>
    <mergeCell ref="BT46:BU47"/>
    <mergeCell ref="BH44:BI45"/>
    <mergeCell ref="BJ48:BK49"/>
    <mergeCell ref="AH50:AI51"/>
  </mergeCells>
  <conditionalFormatting sqref="AP36 AS10:AS23 AR10:AR24 AH46:AI1048576 AH32 AI22:AI29 AH22:AH30 AL36 AQ38:AQ39 AM22:AM33 AL22:AL34 AP38:AP40 AS26:AS35 AR26:AR36 AB34:AC1048576 AD16:AE1048576 AN8:BE9 P6:P24 AJ30:AK1048576 AK22:AK27 AJ22:AJ28 T32:U1048576 U28:U29 T26 T28:T30 BZ56:CA63 J6:AE9 AZ6:AZ32 BB32 AU6:AU33 AT6:AT34 AQ6:AQ33 BF48:BG63 AK6:AK13 AJ6:AJ14 AH6:AI19 AZ14:BA17 AC6:AC19 AB6:AB20 AA6:AA23 Z6:Z24 X38:Y1048576 U6:U23 T6:T24 R6:S1048576 Q6:Q23 B2 AX2 AV2 BF17:BM17 AH20:AK21 BN2:BQ3 B22 B24 BA6:BC31 Z18:AA19 BI30:BI33 BD6:BE63 BD64:XFD1048576 BR18:BS63 BT48:BU63 P24:Q51 J58:BG59 J62:BG63 BH46:BI63 BH30:BH34 AX6:AY33 AL38:AM1048576 AP42:AQ1048576 AR38:AS1048576 AF42:AG1048576 AX34:BC1048576 AT54:AU1048576 AP6:AP34 AJ14:AK19 AP10:AQ11 BB2 AZ2 BD2 BF2:BO16 L2 P2 T2 X2 AB2 AF2 AJ2 AN2 AR2 J2 N2 R2 V2 Z2 AD2 AH2 AL2 AP2 AT2 B4 B8 B12 B16 B20 B6 B10 B14 B18 B44 B46 B26 B48 B30 B52 B34 B56 B38 B60 B42 B28 B50 B32 B54 B36 B58 B40 B62 BN22:BO63 AT12:AW13 AV10:AW1048576 Z40:AA1048576 AL8:AL20 BI18:BI27 BH18:BH28 BO6:BO19 BN6:BN20 AN56:AO1048576 BS2:BS15 BP2:BQ63 BR2:BR16 BG18:BG45 BF18:BF46 AM8:AM19 AN6:BG7 AF6:AK7 AL6 AE6:AE13 AD6:AD14 AB22 AC24:AC31 AB24:AB32 AA26:AA29 Z26:Z30 V36:W1048576 W6:W33 V6:V34 Y6:Y35 X6:X36 AA32:AA37 Z32:Z38 AG18:AG39 AF18:AF40 AI34:AI43 AH34:AH44 AU36:AU51 AT36:AT52 AO6:AO51 AN6:AN52 AP54:BG55 J54:AM55 AN54 BJ50:BK63 BU2:BU45 BT2:BT46 BI36:BI43 BH36:BH44 BL6:BM63 BK18:BK47 BJ18:BJ48 CA2:CA37 BV2:BY63 BZ2:BZ38 CA40:CA43 BZ40:BZ44 CA46:CA49 BZ46:BZ50 BF52:BY63 AF6:AG17 BZ52:CA53 O6:O23 J6:M51 N26:O51 N6:N24 F2 D2 H2 CB2:XFD63 CH2:CO1048576">
    <cfRule type="cellIs" dxfId="28" priority="64" operator="equal">
      <formula>"Me"</formula>
    </cfRule>
    <cfRule type="cellIs" dxfId="27" priority="65" operator="equal">
      <formula>"C"</formula>
    </cfRule>
    <cfRule type="cellIs" dxfId="26" priority="66" operator="equal">
      <formula>"B"</formula>
    </cfRule>
    <cfRule type="cellIs" dxfId="25" priority="67" operator="equal">
      <formula>"S"</formula>
    </cfRule>
    <cfRule type="cellIs" dxfId="24" priority="68" operator="equal">
      <formula>"Mi"</formula>
    </cfRule>
    <cfRule type="cellIs" dxfId="23" priority="69" operator="equal">
      <formula>"G"</formula>
    </cfRule>
    <cfRule type="cellIs" dxfId="22" priority="70" operator="equal">
      <formula>"O"</formula>
    </cfRule>
  </conditionalFormatting>
  <conditionalFormatting sqref="H58:I59 H62:I63 H54:I55 H6:I51">
    <cfRule type="cellIs" dxfId="21" priority="15" operator="equal">
      <formula>"Me"</formula>
    </cfRule>
    <cfRule type="cellIs" dxfId="20" priority="16" operator="equal">
      <formula>"C"</formula>
    </cfRule>
    <cfRule type="cellIs" dxfId="19" priority="17" operator="equal">
      <formula>"B"</formula>
    </cfRule>
    <cfRule type="cellIs" dxfId="18" priority="18" operator="equal">
      <formula>"S"</formula>
    </cfRule>
    <cfRule type="cellIs" dxfId="17" priority="19" operator="equal">
      <formula>"Mi"</formula>
    </cfRule>
    <cfRule type="cellIs" dxfId="16" priority="20" operator="equal">
      <formula>"G"</formula>
    </cfRule>
    <cfRule type="cellIs" dxfId="15" priority="21" operator="equal">
      <formula>"O"</formula>
    </cfRule>
  </conditionalFormatting>
  <conditionalFormatting sqref="F58:G59 F62:G63 F54:G55 F6:G51">
    <cfRule type="cellIs" dxfId="14" priority="8" operator="equal">
      <formula>"Me"</formula>
    </cfRule>
    <cfRule type="cellIs" dxfId="13" priority="9" operator="equal">
      <formula>"C"</formula>
    </cfRule>
    <cfRule type="cellIs" dxfId="12" priority="10" operator="equal">
      <formula>"B"</formula>
    </cfRule>
    <cfRule type="cellIs" dxfId="11" priority="11" operator="equal">
      <formula>"S"</formula>
    </cfRule>
    <cfRule type="cellIs" dxfId="10" priority="12" operator="equal">
      <formula>"Mi"</formula>
    </cfRule>
    <cfRule type="cellIs" dxfId="9" priority="13" operator="equal">
      <formula>"G"</formula>
    </cfRule>
    <cfRule type="cellIs" dxfId="8" priority="14" operator="equal">
      <formula>"O"</formula>
    </cfRule>
  </conditionalFormatting>
  <conditionalFormatting sqref="D58:E59 D62:E63 D54:E55 D6:E51">
    <cfRule type="cellIs" dxfId="7" priority="1" operator="equal">
      <formula>"Me"</formula>
    </cfRule>
    <cfRule type="cellIs" dxfId="6" priority="2" operator="equal">
      <formula>"C"</formula>
    </cfRule>
    <cfRule type="cellIs" dxfId="5" priority="3" operator="equal">
      <formula>"B"</formula>
    </cfRule>
    <cfRule type="cellIs" dxfId="4" priority="4" operator="equal">
      <formula>"S"</formula>
    </cfRule>
    <cfRule type="cellIs" dxfId="3" priority="5" operator="equal">
      <formula>"Mi"</formula>
    </cfRule>
    <cfRule type="cellIs" dxfId="2" priority="6" operator="equal">
      <formula>"G"</formula>
    </cfRule>
    <cfRule type="cellIs" dxfId="1" priority="7" operator="equal">
      <formula>"O"</formula>
    </cfRule>
  </conditionalFormatting>
  <pageMargins left="0.7" right="0.7" top="0.75" bottom="0.75" header="0.3" footer="0.3"/>
  <pageSetup paperSize="9" orientation="portrait" horizontalDpi="300" r:id="rId1"/>
</worksheet>
</file>

<file path=xl/worksheets/sheet4.xml><?xml version="1.0" encoding="utf-8"?>
<worksheet xmlns="http://schemas.openxmlformats.org/spreadsheetml/2006/main" xmlns:r="http://schemas.openxmlformats.org/officeDocument/2006/relationships">
  <sheetPr codeName="Feuil5" filterMode="1"/>
  <dimension ref="A1:J1426"/>
  <sheetViews>
    <sheetView workbookViewId="0">
      <pane xSplit="2" ySplit="1" topLeftCell="C2" activePane="bottomRight" state="frozen"/>
      <selection pane="topRight" activeCell="C1" sqref="C1"/>
      <selection pane="bottomLeft" activeCell="A2" sqref="A2"/>
      <selection pane="bottomRight" activeCell="E1430" sqref="E1430"/>
    </sheetView>
  </sheetViews>
  <sheetFormatPr baseColWidth="10" defaultRowHeight="15"/>
  <sheetData>
    <row r="1" spans="1:10">
      <c r="A1" s="7" t="s">
        <v>142</v>
      </c>
      <c r="B1" s="7" t="s">
        <v>143</v>
      </c>
      <c r="C1" s="7" t="s">
        <v>4</v>
      </c>
      <c r="D1" s="7" t="s">
        <v>5</v>
      </c>
      <c r="E1" s="7" t="s">
        <v>6</v>
      </c>
      <c r="F1" s="7" t="s">
        <v>7</v>
      </c>
      <c r="G1" s="7" t="s">
        <v>8</v>
      </c>
      <c r="H1" s="7" t="s">
        <v>9</v>
      </c>
      <c r="I1" s="7" t="s">
        <v>10</v>
      </c>
      <c r="J1" s="7" t="s">
        <v>144</v>
      </c>
    </row>
    <row r="2" spans="1:10" hidden="1">
      <c r="A2">
        <v>239</v>
      </c>
      <c r="B2">
        <v>75</v>
      </c>
      <c r="J2">
        <f>SUM(C2:I2)</f>
        <v>0</v>
      </c>
    </row>
    <row r="3" spans="1:10" hidden="1">
      <c r="A3">
        <v>240</v>
      </c>
      <c r="B3">
        <v>75</v>
      </c>
      <c r="J3">
        <f t="shared" ref="J3:J66" si="0">SUM(C3:I3)</f>
        <v>0</v>
      </c>
    </row>
    <row r="4" spans="1:10" hidden="1">
      <c r="A4">
        <v>241</v>
      </c>
      <c r="B4">
        <v>75</v>
      </c>
      <c r="J4">
        <f t="shared" si="0"/>
        <v>0</v>
      </c>
    </row>
    <row r="5" spans="1:10" hidden="1">
      <c r="A5">
        <v>242</v>
      </c>
      <c r="B5">
        <v>75</v>
      </c>
      <c r="J5">
        <f t="shared" si="0"/>
        <v>0</v>
      </c>
    </row>
    <row r="6" spans="1:10" hidden="1">
      <c r="A6">
        <v>243</v>
      </c>
      <c r="B6">
        <v>75</v>
      </c>
      <c r="J6">
        <f t="shared" si="0"/>
        <v>0</v>
      </c>
    </row>
    <row r="7" spans="1:10" hidden="1">
      <c r="A7">
        <v>244</v>
      </c>
      <c r="B7">
        <v>75</v>
      </c>
      <c r="J7">
        <f t="shared" si="0"/>
        <v>0</v>
      </c>
    </row>
    <row r="8" spans="1:10" hidden="1">
      <c r="A8">
        <v>245</v>
      </c>
      <c r="B8">
        <v>75</v>
      </c>
      <c r="J8">
        <f t="shared" si="0"/>
        <v>0</v>
      </c>
    </row>
    <row r="9" spans="1:10" hidden="1">
      <c r="A9">
        <v>246</v>
      </c>
      <c r="B9">
        <v>75</v>
      </c>
      <c r="J9">
        <f t="shared" si="0"/>
        <v>0</v>
      </c>
    </row>
    <row r="10" spans="1:10" hidden="1">
      <c r="A10">
        <v>247</v>
      </c>
      <c r="B10">
        <v>75</v>
      </c>
      <c r="J10">
        <f t="shared" si="0"/>
        <v>0</v>
      </c>
    </row>
    <row r="11" spans="1:10" hidden="1">
      <c r="A11">
        <v>248</v>
      </c>
      <c r="B11">
        <v>75</v>
      </c>
      <c r="J11">
        <f t="shared" si="0"/>
        <v>0</v>
      </c>
    </row>
    <row r="12" spans="1:10" hidden="1">
      <c r="A12">
        <v>249</v>
      </c>
      <c r="B12">
        <v>75</v>
      </c>
      <c r="J12">
        <f t="shared" si="0"/>
        <v>0</v>
      </c>
    </row>
    <row r="13" spans="1:10" hidden="1">
      <c r="A13">
        <v>250</v>
      </c>
      <c r="B13">
        <v>75</v>
      </c>
      <c r="J13">
        <f t="shared" si="0"/>
        <v>0</v>
      </c>
    </row>
    <row r="14" spans="1:10" hidden="1">
      <c r="A14">
        <v>251</v>
      </c>
      <c r="B14">
        <v>75</v>
      </c>
      <c r="J14">
        <f t="shared" si="0"/>
        <v>0</v>
      </c>
    </row>
    <row r="15" spans="1:10" hidden="1">
      <c r="A15">
        <v>252</v>
      </c>
      <c r="B15">
        <v>75</v>
      </c>
      <c r="J15">
        <f t="shared" si="0"/>
        <v>0</v>
      </c>
    </row>
    <row r="16" spans="1:10" hidden="1">
      <c r="A16">
        <v>253</v>
      </c>
      <c r="B16">
        <v>75</v>
      </c>
      <c r="J16">
        <f t="shared" si="0"/>
        <v>0</v>
      </c>
    </row>
    <row r="17" spans="1:10" hidden="1">
      <c r="A17">
        <v>254</v>
      </c>
      <c r="B17">
        <v>75</v>
      </c>
      <c r="J17">
        <f t="shared" si="0"/>
        <v>0</v>
      </c>
    </row>
    <row r="18" spans="1:10" hidden="1">
      <c r="A18">
        <v>255</v>
      </c>
      <c r="B18">
        <v>75</v>
      </c>
      <c r="J18">
        <f t="shared" si="0"/>
        <v>0</v>
      </c>
    </row>
    <row r="19" spans="1:10" hidden="1">
      <c r="A19">
        <v>256</v>
      </c>
      <c r="B19">
        <v>75</v>
      </c>
      <c r="J19">
        <f t="shared" si="0"/>
        <v>0</v>
      </c>
    </row>
    <row r="20" spans="1:10" hidden="1">
      <c r="A20">
        <v>257</v>
      </c>
      <c r="B20">
        <v>75</v>
      </c>
      <c r="J20">
        <f t="shared" si="0"/>
        <v>0</v>
      </c>
    </row>
    <row r="21" spans="1:10" hidden="1">
      <c r="A21">
        <v>258</v>
      </c>
      <c r="B21">
        <v>75</v>
      </c>
      <c r="J21">
        <f t="shared" si="0"/>
        <v>0</v>
      </c>
    </row>
    <row r="22" spans="1:10" hidden="1">
      <c r="A22">
        <v>259</v>
      </c>
      <c r="B22">
        <v>75</v>
      </c>
      <c r="J22">
        <f t="shared" si="0"/>
        <v>0</v>
      </c>
    </row>
    <row r="23" spans="1:10" hidden="1">
      <c r="A23">
        <v>260</v>
      </c>
      <c r="B23">
        <v>75</v>
      </c>
      <c r="J23">
        <f t="shared" si="0"/>
        <v>0</v>
      </c>
    </row>
    <row r="24" spans="1:10" hidden="1">
      <c r="A24">
        <v>261</v>
      </c>
      <c r="B24">
        <v>75</v>
      </c>
      <c r="J24">
        <f t="shared" si="0"/>
        <v>0</v>
      </c>
    </row>
    <row r="25" spans="1:10" hidden="1">
      <c r="A25">
        <v>262</v>
      </c>
      <c r="B25">
        <v>75</v>
      </c>
      <c r="J25">
        <f t="shared" si="0"/>
        <v>0</v>
      </c>
    </row>
    <row r="26" spans="1:10" hidden="1">
      <c r="A26">
        <v>263</v>
      </c>
      <c r="B26">
        <v>75</v>
      </c>
      <c r="J26">
        <f t="shared" si="0"/>
        <v>0</v>
      </c>
    </row>
    <row r="27" spans="1:10" hidden="1">
      <c r="A27">
        <v>264</v>
      </c>
      <c r="B27">
        <v>75</v>
      </c>
      <c r="J27">
        <f t="shared" si="0"/>
        <v>0</v>
      </c>
    </row>
    <row r="28" spans="1:10" hidden="1">
      <c r="A28">
        <v>265</v>
      </c>
      <c r="B28">
        <v>75</v>
      </c>
      <c r="J28">
        <f t="shared" si="0"/>
        <v>0</v>
      </c>
    </row>
    <row r="29" spans="1:10" hidden="1">
      <c r="A29">
        <v>266</v>
      </c>
      <c r="B29">
        <v>75</v>
      </c>
      <c r="J29">
        <f t="shared" si="0"/>
        <v>0</v>
      </c>
    </row>
    <row r="30" spans="1:10" hidden="1">
      <c r="A30">
        <v>267</v>
      </c>
      <c r="B30">
        <v>75</v>
      </c>
      <c r="J30">
        <f t="shared" si="0"/>
        <v>0</v>
      </c>
    </row>
    <row r="31" spans="1:10" hidden="1">
      <c r="A31">
        <v>268</v>
      </c>
      <c r="B31">
        <v>75</v>
      </c>
      <c r="J31">
        <f t="shared" si="0"/>
        <v>0</v>
      </c>
    </row>
    <row r="32" spans="1:10" hidden="1">
      <c r="A32">
        <v>269</v>
      </c>
      <c r="B32">
        <v>75</v>
      </c>
      <c r="J32">
        <f t="shared" si="0"/>
        <v>0</v>
      </c>
    </row>
    <row r="33" spans="1:10" hidden="1">
      <c r="A33">
        <v>270</v>
      </c>
      <c r="B33">
        <v>75</v>
      </c>
      <c r="J33">
        <f t="shared" si="0"/>
        <v>0</v>
      </c>
    </row>
    <row r="34" spans="1:10" hidden="1">
      <c r="A34">
        <v>271</v>
      </c>
      <c r="B34">
        <v>75</v>
      </c>
      <c r="J34">
        <f t="shared" si="0"/>
        <v>0</v>
      </c>
    </row>
    <row r="35" spans="1:10" hidden="1">
      <c r="A35">
        <v>272</v>
      </c>
      <c r="B35">
        <v>75</v>
      </c>
      <c r="J35">
        <f t="shared" si="0"/>
        <v>0</v>
      </c>
    </row>
    <row r="36" spans="1:10" hidden="1">
      <c r="A36">
        <v>273</v>
      </c>
      <c r="B36">
        <v>75</v>
      </c>
      <c r="J36">
        <f t="shared" si="0"/>
        <v>0</v>
      </c>
    </row>
    <row r="37" spans="1:10" hidden="1">
      <c r="A37">
        <v>274</v>
      </c>
      <c r="B37">
        <v>75</v>
      </c>
      <c r="J37">
        <f t="shared" si="0"/>
        <v>0</v>
      </c>
    </row>
    <row r="38" spans="1:10" hidden="1">
      <c r="A38">
        <v>275</v>
      </c>
      <c r="B38">
        <v>75</v>
      </c>
      <c r="J38">
        <f t="shared" si="0"/>
        <v>0</v>
      </c>
    </row>
    <row r="39" spans="1:10" hidden="1">
      <c r="A39">
        <v>276</v>
      </c>
      <c r="B39">
        <v>75</v>
      </c>
      <c r="J39">
        <f t="shared" si="0"/>
        <v>0</v>
      </c>
    </row>
    <row r="40" spans="1:10" hidden="1">
      <c r="A40">
        <v>277</v>
      </c>
      <c r="B40">
        <v>75</v>
      </c>
      <c r="J40">
        <f t="shared" si="0"/>
        <v>0</v>
      </c>
    </row>
    <row r="41" spans="1:10" hidden="1">
      <c r="A41">
        <v>278</v>
      </c>
      <c r="B41">
        <v>75</v>
      </c>
      <c r="J41">
        <f t="shared" si="0"/>
        <v>0</v>
      </c>
    </row>
    <row r="42" spans="1:10" hidden="1">
      <c r="A42">
        <v>279</v>
      </c>
      <c r="B42">
        <v>75</v>
      </c>
      <c r="J42">
        <f t="shared" si="0"/>
        <v>0</v>
      </c>
    </row>
    <row r="43" spans="1:10" hidden="1">
      <c r="A43">
        <v>280</v>
      </c>
      <c r="B43">
        <v>75</v>
      </c>
      <c r="J43">
        <f t="shared" si="0"/>
        <v>0</v>
      </c>
    </row>
    <row r="44" spans="1:10" hidden="1">
      <c r="A44">
        <v>281</v>
      </c>
      <c r="B44">
        <v>75</v>
      </c>
      <c r="J44">
        <f t="shared" si="0"/>
        <v>0</v>
      </c>
    </row>
    <row r="45" spans="1:10" hidden="1">
      <c r="A45">
        <v>282</v>
      </c>
      <c r="B45">
        <v>75</v>
      </c>
      <c r="J45">
        <f t="shared" si="0"/>
        <v>0</v>
      </c>
    </row>
    <row r="46" spans="1:10" hidden="1">
      <c r="A46">
        <v>283</v>
      </c>
      <c r="B46">
        <v>75</v>
      </c>
      <c r="J46">
        <f t="shared" si="0"/>
        <v>0</v>
      </c>
    </row>
    <row r="47" spans="1:10" hidden="1">
      <c r="A47">
        <v>239</v>
      </c>
      <c r="B47">
        <v>74</v>
      </c>
      <c r="J47">
        <f t="shared" si="0"/>
        <v>0</v>
      </c>
    </row>
    <row r="48" spans="1:10" hidden="1">
      <c r="A48">
        <v>240</v>
      </c>
      <c r="B48">
        <v>74</v>
      </c>
      <c r="J48">
        <f t="shared" si="0"/>
        <v>0</v>
      </c>
    </row>
    <row r="49" spans="1:10" hidden="1">
      <c r="A49">
        <v>241</v>
      </c>
      <c r="B49">
        <v>74</v>
      </c>
      <c r="J49">
        <f t="shared" si="0"/>
        <v>0</v>
      </c>
    </row>
    <row r="50" spans="1:10" hidden="1">
      <c r="A50">
        <v>242</v>
      </c>
      <c r="B50">
        <v>74</v>
      </c>
      <c r="J50">
        <f t="shared" si="0"/>
        <v>0</v>
      </c>
    </row>
    <row r="51" spans="1:10" hidden="1">
      <c r="A51">
        <v>243</v>
      </c>
      <c r="B51">
        <v>74</v>
      </c>
      <c r="J51">
        <f t="shared" si="0"/>
        <v>0</v>
      </c>
    </row>
    <row r="52" spans="1:10" hidden="1">
      <c r="A52">
        <v>244</v>
      </c>
      <c r="B52">
        <v>74</v>
      </c>
      <c r="J52">
        <f t="shared" si="0"/>
        <v>0</v>
      </c>
    </row>
    <row r="53" spans="1:10" hidden="1">
      <c r="A53">
        <v>245</v>
      </c>
      <c r="B53">
        <v>74</v>
      </c>
      <c r="J53">
        <f t="shared" si="0"/>
        <v>0</v>
      </c>
    </row>
    <row r="54" spans="1:10" hidden="1">
      <c r="A54">
        <v>246</v>
      </c>
      <c r="B54">
        <v>74</v>
      </c>
      <c r="J54">
        <f t="shared" si="0"/>
        <v>0</v>
      </c>
    </row>
    <row r="55" spans="1:10" hidden="1">
      <c r="A55">
        <v>247</v>
      </c>
      <c r="B55">
        <v>74</v>
      </c>
      <c r="J55">
        <f t="shared" si="0"/>
        <v>0</v>
      </c>
    </row>
    <row r="56" spans="1:10" hidden="1">
      <c r="A56">
        <v>248</v>
      </c>
      <c r="B56">
        <v>74</v>
      </c>
      <c r="J56">
        <f t="shared" si="0"/>
        <v>0</v>
      </c>
    </row>
    <row r="57" spans="1:10" hidden="1">
      <c r="A57">
        <v>249</v>
      </c>
      <c r="B57">
        <v>74</v>
      </c>
      <c r="J57">
        <f t="shared" si="0"/>
        <v>0</v>
      </c>
    </row>
    <row r="58" spans="1:10" hidden="1">
      <c r="A58">
        <v>250</v>
      </c>
      <c r="B58">
        <v>74</v>
      </c>
      <c r="J58">
        <f t="shared" si="0"/>
        <v>0</v>
      </c>
    </row>
    <row r="59" spans="1:10" hidden="1">
      <c r="A59">
        <v>251</v>
      </c>
      <c r="B59">
        <v>74</v>
      </c>
      <c r="J59">
        <f t="shared" si="0"/>
        <v>0</v>
      </c>
    </row>
    <row r="60" spans="1:10" hidden="1">
      <c r="A60">
        <v>252</v>
      </c>
      <c r="B60">
        <v>74</v>
      </c>
      <c r="J60">
        <f t="shared" si="0"/>
        <v>0</v>
      </c>
    </row>
    <row r="61" spans="1:10" hidden="1">
      <c r="A61">
        <v>253</v>
      </c>
      <c r="B61">
        <v>74</v>
      </c>
      <c r="J61">
        <f t="shared" si="0"/>
        <v>0</v>
      </c>
    </row>
    <row r="62" spans="1:10" hidden="1">
      <c r="A62">
        <v>254</v>
      </c>
      <c r="B62">
        <v>74</v>
      </c>
      <c r="J62">
        <f t="shared" si="0"/>
        <v>0</v>
      </c>
    </row>
    <row r="63" spans="1:10" hidden="1">
      <c r="A63">
        <v>255</v>
      </c>
      <c r="B63">
        <v>74</v>
      </c>
      <c r="J63">
        <f t="shared" si="0"/>
        <v>0</v>
      </c>
    </row>
    <row r="64" spans="1:10" hidden="1">
      <c r="A64">
        <v>256</v>
      </c>
      <c r="B64">
        <v>74</v>
      </c>
      <c r="J64">
        <f t="shared" si="0"/>
        <v>0</v>
      </c>
    </row>
    <row r="65" spans="1:10" hidden="1">
      <c r="A65">
        <v>257</v>
      </c>
      <c r="B65">
        <v>74</v>
      </c>
      <c r="D65">
        <v>1</v>
      </c>
      <c r="F65">
        <v>2</v>
      </c>
      <c r="I65">
        <v>1</v>
      </c>
      <c r="J65">
        <f t="shared" si="0"/>
        <v>4</v>
      </c>
    </row>
    <row r="66" spans="1:10" hidden="1">
      <c r="A66">
        <v>258</v>
      </c>
      <c r="B66">
        <v>74</v>
      </c>
      <c r="C66">
        <v>1</v>
      </c>
      <c r="E66">
        <v>1</v>
      </c>
      <c r="F66">
        <v>1</v>
      </c>
      <c r="H66">
        <v>1</v>
      </c>
      <c r="J66">
        <f t="shared" si="0"/>
        <v>4</v>
      </c>
    </row>
    <row r="67" spans="1:10" hidden="1">
      <c r="A67">
        <v>259</v>
      </c>
      <c r="B67">
        <v>74</v>
      </c>
      <c r="J67">
        <f t="shared" ref="J67:J130" si="1">SUM(C67:I67)</f>
        <v>0</v>
      </c>
    </row>
    <row r="68" spans="1:10" hidden="1">
      <c r="A68">
        <v>260</v>
      </c>
      <c r="B68">
        <v>74</v>
      </c>
      <c r="J68">
        <f t="shared" si="1"/>
        <v>0</v>
      </c>
    </row>
    <row r="69" spans="1:10" hidden="1">
      <c r="A69">
        <v>261</v>
      </c>
      <c r="B69">
        <v>74</v>
      </c>
      <c r="J69">
        <f t="shared" si="1"/>
        <v>0</v>
      </c>
    </row>
    <row r="70" spans="1:10" hidden="1">
      <c r="A70">
        <v>262</v>
      </c>
      <c r="B70">
        <v>74</v>
      </c>
      <c r="J70">
        <f t="shared" si="1"/>
        <v>0</v>
      </c>
    </row>
    <row r="71" spans="1:10" hidden="1">
      <c r="A71">
        <v>263</v>
      </c>
      <c r="B71">
        <v>74</v>
      </c>
      <c r="J71">
        <f t="shared" si="1"/>
        <v>0</v>
      </c>
    </row>
    <row r="72" spans="1:10" hidden="1">
      <c r="A72">
        <v>264</v>
      </c>
      <c r="B72">
        <v>74</v>
      </c>
      <c r="J72">
        <f t="shared" si="1"/>
        <v>0</v>
      </c>
    </row>
    <row r="73" spans="1:10" hidden="1">
      <c r="A73">
        <v>265</v>
      </c>
      <c r="B73">
        <v>74</v>
      </c>
      <c r="J73">
        <f t="shared" si="1"/>
        <v>0</v>
      </c>
    </row>
    <row r="74" spans="1:10" hidden="1">
      <c r="A74">
        <v>266</v>
      </c>
      <c r="B74">
        <v>74</v>
      </c>
      <c r="J74">
        <f t="shared" si="1"/>
        <v>0</v>
      </c>
    </row>
    <row r="75" spans="1:10" hidden="1">
      <c r="A75">
        <v>267</v>
      </c>
      <c r="B75">
        <v>74</v>
      </c>
      <c r="J75">
        <f t="shared" si="1"/>
        <v>0</v>
      </c>
    </row>
    <row r="76" spans="1:10" hidden="1">
      <c r="A76">
        <v>268</v>
      </c>
      <c r="B76">
        <v>74</v>
      </c>
      <c r="J76">
        <f t="shared" si="1"/>
        <v>0</v>
      </c>
    </row>
    <row r="77" spans="1:10" hidden="1">
      <c r="A77">
        <v>269</v>
      </c>
      <c r="B77">
        <v>74</v>
      </c>
      <c r="J77">
        <f t="shared" si="1"/>
        <v>0</v>
      </c>
    </row>
    <row r="78" spans="1:10" hidden="1">
      <c r="A78">
        <v>270</v>
      </c>
      <c r="B78">
        <v>74</v>
      </c>
      <c r="J78">
        <f t="shared" si="1"/>
        <v>0</v>
      </c>
    </row>
    <row r="79" spans="1:10" hidden="1">
      <c r="A79">
        <v>271</v>
      </c>
      <c r="B79">
        <v>74</v>
      </c>
      <c r="J79">
        <f t="shared" si="1"/>
        <v>0</v>
      </c>
    </row>
    <row r="80" spans="1:10" hidden="1">
      <c r="A80">
        <v>272</v>
      </c>
      <c r="B80">
        <v>74</v>
      </c>
      <c r="J80">
        <f t="shared" si="1"/>
        <v>0</v>
      </c>
    </row>
    <row r="81" spans="1:10" hidden="1">
      <c r="A81">
        <v>273</v>
      </c>
      <c r="B81">
        <v>74</v>
      </c>
      <c r="J81">
        <f t="shared" si="1"/>
        <v>0</v>
      </c>
    </row>
    <row r="82" spans="1:10" hidden="1">
      <c r="A82">
        <v>274</v>
      </c>
      <c r="B82">
        <v>74</v>
      </c>
      <c r="J82">
        <f t="shared" si="1"/>
        <v>0</v>
      </c>
    </row>
    <row r="83" spans="1:10" hidden="1">
      <c r="A83">
        <v>275</v>
      </c>
      <c r="B83">
        <v>74</v>
      </c>
      <c r="J83">
        <f t="shared" si="1"/>
        <v>0</v>
      </c>
    </row>
    <row r="84" spans="1:10" hidden="1">
      <c r="A84">
        <v>276</v>
      </c>
      <c r="B84">
        <v>74</v>
      </c>
      <c r="J84">
        <f t="shared" si="1"/>
        <v>0</v>
      </c>
    </row>
    <row r="85" spans="1:10" hidden="1">
      <c r="A85">
        <v>277</v>
      </c>
      <c r="B85">
        <v>74</v>
      </c>
      <c r="J85">
        <f t="shared" si="1"/>
        <v>0</v>
      </c>
    </row>
    <row r="86" spans="1:10" hidden="1">
      <c r="A86">
        <v>278</v>
      </c>
      <c r="B86">
        <v>74</v>
      </c>
      <c r="J86">
        <f t="shared" si="1"/>
        <v>0</v>
      </c>
    </row>
    <row r="87" spans="1:10" hidden="1">
      <c r="A87">
        <v>279</v>
      </c>
      <c r="B87">
        <v>74</v>
      </c>
      <c r="J87">
        <f t="shared" si="1"/>
        <v>0</v>
      </c>
    </row>
    <row r="88" spans="1:10" hidden="1">
      <c r="A88">
        <v>280</v>
      </c>
      <c r="B88">
        <v>74</v>
      </c>
      <c r="J88">
        <f t="shared" si="1"/>
        <v>0</v>
      </c>
    </row>
    <row r="89" spans="1:10" hidden="1">
      <c r="A89">
        <v>281</v>
      </c>
      <c r="B89">
        <v>74</v>
      </c>
      <c r="J89">
        <f t="shared" si="1"/>
        <v>0</v>
      </c>
    </row>
    <row r="90" spans="1:10" hidden="1">
      <c r="A90">
        <v>282</v>
      </c>
      <c r="B90">
        <v>74</v>
      </c>
      <c r="J90">
        <f t="shared" si="1"/>
        <v>0</v>
      </c>
    </row>
    <row r="91" spans="1:10" hidden="1">
      <c r="A91">
        <v>283</v>
      </c>
      <c r="B91">
        <v>74</v>
      </c>
      <c r="J91">
        <f t="shared" si="1"/>
        <v>0</v>
      </c>
    </row>
    <row r="92" spans="1:10" hidden="1">
      <c r="A92">
        <v>239</v>
      </c>
      <c r="B92">
        <v>73</v>
      </c>
      <c r="J92">
        <f t="shared" si="1"/>
        <v>0</v>
      </c>
    </row>
    <row r="93" spans="1:10" hidden="1">
      <c r="A93">
        <v>240</v>
      </c>
      <c r="B93">
        <v>73</v>
      </c>
      <c r="J93">
        <f t="shared" si="1"/>
        <v>0</v>
      </c>
    </row>
    <row r="94" spans="1:10" hidden="1">
      <c r="A94">
        <v>241</v>
      </c>
      <c r="B94">
        <v>73</v>
      </c>
      <c r="J94">
        <f t="shared" si="1"/>
        <v>0</v>
      </c>
    </row>
    <row r="95" spans="1:10" hidden="1">
      <c r="A95">
        <v>242</v>
      </c>
      <c r="B95">
        <v>73</v>
      </c>
      <c r="J95">
        <f t="shared" si="1"/>
        <v>0</v>
      </c>
    </row>
    <row r="96" spans="1:10" hidden="1">
      <c r="A96">
        <v>243</v>
      </c>
      <c r="B96">
        <v>73</v>
      </c>
      <c r="J96">
        <f t="shared" si="1"/>
        <v>0</v>
      </c>
    </row>
    <row r="97" spans="1:10" hidden="1">
      <c r="A97">
        <v>244</v>
      </c>
      <c r="B97">
        <v>73</v>
      </c>
      <c r="J97">
        <f t="shared" si="1"/>
        <v>0</v>
      </c>
    </row>
    <row r="98" spans="1:10" hidden="1">
      <c r="A98">
        <v>245</v>
      </c>
      <c r="B98">
        <v>73</v>
      </c>
      <c r="J98">
        <f t="shared" si="1"/>
        <v>0</v>
      </c>
    </row>
    <row r="99" spans="1:10" hidden="1">
      <c r="A99">
        <v>246</v>
      </c>
      <c r="B99">
        <v>73</v>
      </c>
      <c r="J99">
        <f t="shared" si="1"/>
        <v>0</v>
      </c>
    </row>
    <row r="100" spans="1:10" hidden="1">
      <c r="A100">
        <v>247</v>
      </c>
      <c r="B100">
        <v>73</v>
      </c>
      <c r="J100">
        <f t="shared" si="1"/>
        <v>0</v>
      </c>
    </row>
    <row r="101" spans="1:10" hidden="1">
      <c r="A101">
        <v>248</v>
      </c>
      <c r="B101">
        <v>73</v>
      </c>
      <c r="J101">
        <f t="shared" si="1"/>
        <v>0</v>
      </c>
    </row>
    <row r="102" spans="1:10" hidden="1">
      <c r="A102">
        <v>249</v>
      </c>
      <c r="B102">
        <v>73</v>
      </c>
      <c r="J102">
        <f t="shared" si="1"/>
        <v>0</v>
      </c>
    </row>
    <row r="103" spans="1:10" hidden="1">
      <c r="A103">
        <v>250</v>
      </c>
      <c r="B103">
        <v>73</v>
      </c>
      <c r="J103">
        <f t="shared" si="1"/>
        <v>0</v>
      </c>
    </row>
    <row r="104" spans="1:10" hidden="1">
      <c r="A104">
        <v>251</v>
      </c>
      <c r="B104">
        <v>73</v>
      </c>
      <c r="J104">
        <f t="shared" si="1"/>
        <v>0</v>
      </c>
    </row>
    <row r="105" spans="1:10" hidden="1">
      <c r="A105">
        <v>252</v>
      </c>
      <c r="B105">
        <v>73</v>
      </c>
      <c r="J105">
        <f t="shared" si="1"/>
        <v>0</v>
      </c>
    </row>
    <row r="106" spans="1:10" hidden="1">
      <c r="A106">
        <v>253</v>
      </c>
      <c r="B106">
        <v>73</v>
      </c>
      <c r="J106">
        <f t="shared" si="1"/>
        <v>0</v>
      </c>
    </row>
    <row r="107" spans="1:10" hidden="1">
      <c r="A107">
        <v>254</v>
      </c>
      <c r="B107">
        <v>73</v>
      </c>
      <c r="D107">
        <v>1</v>
      </c>
      <c r="E107">
        <v>1</v>
      </c>
      <c r="F107">
        <v>1</v>
      </c>
      <c r="G107">
        <v>1</v>
      </c>
      <c r="J107">
        <f t="shared" si="1"/>
        <v>4</v>
      </c>
    </row>
    <row r="108" spans="1:10" hidden="1">
      <c r="A108">
        <v>255</v>
      </c>
      <c r="B108">
        <v>73</v>
      </c>
      <c r="F108">
        <v>2</v>
      </c>
      <c r="G108">
        <v>1</v>
      </c>
      <c r="H108">
        <v>1</v>
      </c>
      <c r="J108">
        <f t="shared" si="1"/>
        <v>4</v>
      </c>
    </row>
    <row r="109" spans="1:10" hidden="1">
      <c r="A109">
        <v>256</v>
      </c>
      <c r="B109">
        <v>73</v>
      </c>
      <c r="F109">
        <v>2</v>
      </c>
      <c r="G109">
        <v>1</v>
      </c>
      <c r="I109">
        <v>1</v>
      </c>
      <c r="J109">
        <f t="shared" si="1"/>
        <v>4</v>
      </c>
    </row>
    <row r="110" spans="1:10" hidden="1">
      <c r="A110">
        <v>257</v>
      </c>
      <c r="B110">
        <v>73</v>
      </c>
      <c r="D110">
        <v>1</v>
      </c>
      <c r="G110">
        <v>1</v>
      </c>
      <c r="H110">
        <v>1</v>
      </c>
      <c r="I110">
        <v>1</v>
      </c>
      <c r="J110">
        <f t="shared" si="1"/>
        <v>4</v>
      </c>
    </row>
    <row r="111" spans="1:10" hidden="1">
      <c r="A111">
        <v>258</v>
      </c>
      <c r="B111">
        <v>73</v>
      </c>
      <c r="J111">
        <f t="shared" si="1"/>
        <v>0</v>
      </c>
    </row>
    <row r="112" spans="1:10" hidden="1">
      <c r="A112">
        <v>259</v>
      </c>
      <c r="B112">
        <v>73</v>
      </c>
      <c r="D112">
        <v>1</v>
      </c>
      <c r="F112">
        <v>1</v>
      </c>
      <c r="I112">
        <v>2</v>
      </c>
      <c r="J112">
        <f t="shared" si="1"/>
        <v>4</v>
      </c>
    </row>
    <row r="113" spans="1:10" hidden="1">
      <c r="A113">
        <v>260</v>
      </c>
      <c r="B113">
        <v>73</v>
      </c>
      <c r="J113">
        <f t="shared" si="1"/>
        <v>0</v>
      </c>
    </row>
    <row r="114" spans="1:10" hidden="1">
      <c r="A114">
        <v>261</v>
      </c>
      <c r="B114">
        <v>73</v>
      </c>
      <c r="J114">
        <f t="shared" si="1"/>
        <v>0</v>
      </c>
    </row>
    <row r="115" spans="1:10" hidden="1">
      <c r="A115">
        <v>262</v>
      </c>
      <c r="B115">
        <v>73</v>
      </c>
      <c r="J115">
        <f t="shared" si="1"/>
        <v>0</v>
      </c>
    </row>
    <row r="116" spans="1:10" hidden="1">
      <c r="A116">
        <v>263</v>
      </c>
      <c r="B116">
        <v>73</v>
      </c>
      <c r="J116">
        <f t="shared" si="1"/>
        <v>0</v>
      </c>
    </row>
    <row r="117" spans="1:10" hidden="1">
      <c r="A117">
        <v>264</v>
      </c>
      <c r="B117">
        <v>73</v>
      </c>
      <c r="J117">
        <f t="shared" si="1"/>
        <v>0</v>
      </c>
    </row>
    <row r="118" spans="1:10" hidden="1">
      <c r="A118">
        <v>265</v>
      </c>
      <c r="B118">
        <v>73</v>
      </c>
      <c r="J118">
        <f t="shared" si="1"/>
        <v>0</v>
      </c>
    </row>
    <row r="119" spans="1:10" hidden="1">
      <c r="A119">
        <v>266</v>
      </c>
      <c r="B119">
        <v>73</v>
      </c>
      <c r="J119">
        <f t="shared" si="1"/>
        <v>0</v>
      </c>
    </row>
    <row r="120" spans="1:10" hidden="1">
      <c r="A120">
        <v>267</v>
      </c>
      <c r="B120">
        <v>73</v>
      </c>
      <c r="J120">
        <f t="shared" si="1"/>
        <v>0</v>
      </c>
    </row>
    <row r="121" spans="1:10" hidden="1">
      <c r="A121">
        <v>268</v>
      </c>
      <c r="B121">
        <v>73</v>
      </c>
      <c r="J121">
        <f t="shared" si="1"/>
        <v>0</v>
      </c>
    </row>
    <row r="122" spans="1:10" hidden="1">
      <c r="A122">
        <v>269</v>
      </c>
      <c r="B122">
        <v>73</v>
      </c>
      <c r="J122">
        <f t="shared" si="1"/>
        <v>0</v>
      </c>
    </row>
    <row r="123" spans="1:10" hidden="1">
      <c r="A123">
        <v>270</v>
      </c>
      <c r="B123">
        <v>73</v>
      </c>
      <c r="J123">
        <f t="shared" si="1"/>
        <v>0</v>
      </c>
    </row>
    <row r="124" spans="1:10" hidden="1">
      <c r="A124">
        <v>271</v>
      </c>
      <c r="B124">
        <v>73</v>
      </c>
      <c r="J124">
        <f t="shared" si="1"/>
        <v>0</v>
      </c>
    </row>
    <row r="125" spans="1:10" hidden="1">
      <c r="A125">
        <v>272</v>
      </c>
      <c r="B125">
        <v>73</v>
      </c>
      <c r="J125">
        <f t="shared" si="1"/>
        <v>0</v>
      </c>
    </row>
    <row r="126" spans="1:10" hidden="1">
      <c r="A126">
        <v>273</v>
      </c>
      <c r="B126">
        <v>73</v>
      </c>
      <c r="J126">
        <f t="shared" si="1"/>
        <v>0</v>
      </c>
    </row>
    <row r="127" spans="1:10" hidden="1">
      <c r="A127">
        <v>274</v>
      </c>
      <c r="B127">
        <v>73</v>
      </c>
      <c r="J127">
        <f t="shared" si="1"/>
        <v>0</v>
      </c>
    </row>
    <row r="128" spans="1:10" hidden="1">
      <c r="A128">
        <v>275</v>
      </c>
      <c r="B128">
        <v>73</v>
      </c>
      <c r="J128">
        <f t="shared" si="1"/>
        <v>0</v>
      </c>
    </row>
    <row r="129" spans="1:10" hidden="1">
      <c r="A129">
        <v>276</v>
      </c>
      <c r="B129">
        <v>73</v>
      </c>
      <c r="J129">
        <f t="shared" si="1"/>
        <v>0</v>
      </c>
    </row>
    <row r="130" spans="1:10" hidden="1">
      <c r="A130">
        <v>277</v>
      </c>
      <c r="B130">
        <v>73</v>
      </c>
      <c r="J130">
        <f t="shared" si="1"/>
        <v>0</v>
      </c>
    </row>
    <row r="131" spans="1:10" hidden="1">
      <c r="A131">
        <v>278</v>
      </c>
      <c r="B131">
        <v>73</v>
      </c>
      <c r="J131">
        <f t="shared" ref="J131:J194" si="2">SUM(C131:I131)</f>
        <v>0</v>
      </c>
    </row>
    <row r="132" spans="1:10" hidden="1">
      <c r="A132">
        <v>279</v>
      </c>
      <c r="B132">
        <v>73</v>
      </c>
      <c r="J132">
        <f t="shared" si="2"/>
        <v>0</v>
      </c>
    </row>
    <row r="133" spans="1:10" hidden="1">
      <c r="A133">
        <v>280</v>
      </c>
      <c r="B133">
        <v>73</v>
      </c>
      <c r="J133">
        <f t="shared" si="2"/>
        <v>0</v>
      </c>
    </row>
    <row r="134" spans="1:10" hidden="1">
      <c r="A134">
        <v>281</v>
      </c>
      <c r="B134">
        <v>73</v>
      </c>
      <c r="J134">
        <f t="shared" si="2"/>
        <v>0</v>
      </c>
    </row>
    <row r="135" spans="1:10" hidden="1">
      <c r="A135">
        <v>282</v>
      </c>
      <c r="B135">
        <v>73</v>
      </c>
      <c r="J135">
        <f t="shared" si="2"/>
        <v>0</v>
      </c>
    </row>
    <row r="136" spans="1:10" hidden="1">
      <c r="A136">
        <v>283</v>
      </c>
      <c r="B136">
        <v>73</v>
      </c>
      <c r="J136">
        <f t="shared" si="2"/>
        <v>0</v>
      </c>
    </row>
    <row r="137" spans="1:10" hidden="1">
      <c r="A137">
        <v>239</v>
      </c>
      <c r="B137">
        <v>72</v>
      </c>
      <c r="J137">
        <f t="shared" si="2"/>
        <v>0</v>
      </c>
    </row>
    <row r="138" spans="1:10" hidden="1">
      <c r="A138">
        <v>240</v>
      </c>
      <c r="B138">
        <v>72</v>
      </c>
      <c r="J138">
        <f t="shared" si="2"/>
        <v>0</v>
      </c>
    </row>
    <row r="139" spans="1:10" hidden="1">
      <c r="A139">
        <v>241</v>
      </c>
      <c r="B139">
        <v>72</v>
      </c>
      <c r="J139">
        <f t="shared" si="2"/>
        <v>0</v>
      </c>
    </row>
    <row r="140" spans="1:10" hidden="1">
      <c r="A140">
        <v>242</v>
      </c>
      <c r="B140">
        <v>72</v>
      </c>
      <c r="J140">
        <f t="shared" si="2"/>
        <v>0</v>
      </c>
    </row>
    <row r="141" spans="1:10" hidden="1">
      <c r="A141">
        <v>243</v>
      </c>
      <c r="B141">
        <v>72</v>
      </c>
      <c r="J141">
        <f t="shared" si="2"/>
        <v>0</v>
      </c>
    </row>
    <row r="142" spans="1:10" hidden="1">
      <c r="A142">
        <v>244</v>
      </c>
      <c r="B142">
        <v>72</v>
      </c>
      <c r="J142">
        <f t="shared" si="2"/>
        <v>0</v>
      </c>
    </row>
    <row r="143" spans="1:10" hidden="1">
      <c r="A143">
        <v>245</v>
      </c>
      <c r="B143">
        <v>72</v>
      </c>
      <c r="J143">
        <f t="shared" si="2"/>
        <v>0</v>
      </c>
    </row>
    <row r="144" spans="1:10" hidden="1">
      <c r="A144">
        <v>246</v>
      </c>
      <c r="B144">
        <v>72</v>
      </c>
      <c r="J144">
        <f t="shared" si="2"/>
        <v>0</v>
      </c>
    </row>
    <row r="145" spans="1:10" hidden="1">
      <c r="A145">
        <v>247</v>
      </c>
      <c r="B145">
        <v>72</v>
      </c>
      <c r="J145">
        <f t="shared" si="2"/>
        <v>0</v>
      </c>
    </row>
    <row r="146" spans="1:10" hidden="1">
      <c r="A146">
        <v>248</v>
      </c>
      <c r="B146">
        <v>72</v>
      </c>
      <c r="J146">
        <f t="shared" si="2"/>
        <v>0</v>
      </c>
    </row>
    <row r="147" spans="1:10" hidden="1">
      <c r="A147">
        <v>249</v>
      </c>
      <c r="B147">
        <v>72</v>
      </c>
      <c r="J147">
        <f t="shared" si="2"/>
        <v>0</v>
      </c>
    </row>
    <row r="148" spans="1:10" hidden="1">
      <c r="A148">
        <v>250</v>
      </c>
      <c r="B148">
        <v>72</v>
      </c>
      <c r="J148">
        <f t="shared" si="2"/>
        <v>0</v>
      </c>
    </row>
    <row r="149" spans="1:10" hidden="1">
      <c r="A149">
        <v>251</v>
      </c>
      <c r="B149">
        <v>72</v>
      </c>
      <c r="J149">
        <f t="shared" si="2"/>
        <v>0</v>
      </c>
    </row>
    <row r="150" spans="1:10" hidden="1">
      <c r="A150">
        <v>252</v>
      </c>
      <c r="B150">
        <v>72</v>
      </c>
      <c r="J150">
        <f t="shared" si="2"/>
        <v>0</v>
      </c>
    </row>
    <row r="151" spans="1:10" hidden="1">
      <c r="A151">
        <v>253</v>
      </c>
      <c r="B151">
        <v>72</v>
      </c>
      <c r="C151">
        <v>1</v>
      </c>
      <c r="E151">
        <v>1</v>
      </c>
      <c r="F151">
        <v>1</v>
      </c>
      <c r="I151">
        <v>1</v>
      </c>
      <c r="J151">
        <f t="shared" si="2"/>
        <v>4</v>
      </c>
    </row>
    <row r="152" spans="1:10" hidden="1">
      <c r="A152">
        <v>254</v>
      </c>
      <c r="B152">
        <v>72</v>
      </c>
      <c r="F152">
        <v>2</v>
      </c>
      <c r="G152">
        <v>1</v>
      </c>
      <c r="I152">
        <v>1</v>
      </c>
      <c r="J152">
        <f t="shared" si="2"/>
        <v>4</v>
      </c>
    </row>
    <row r="153" spans="1:10" hidden="1">
      <c r="A153">
        <v>255</v>
      </c>
      <c r="B153">
        <v>72</v>
      </c>
      <c r="C153">
        <v>1</v>
      </c>
      <c r="D153">
        <v>1</v>
      </c>
      <c r="F153">
        <v>1</v>
      </c>
      <c r="H153">
        <v>1</v>
      </c>
      <c r="J153">
        <f t="shared" si="2"/>
        <v>4</v>
      </c>
    </row>
    <row r="154" spans="1:10" hidden="1">
      <c r="A154">
        <v>256</v>
      </c>
      <c r="B154">
        <v>72</v>
      </c>
      <c r="C154">
        <v>1</v>
      </c>
      <c r="D154">
        <v>1</v>
      </c>
      <c r="E154">
        <v>1</v>
      </c>
      <c r="G154">
        <v>1</v>
      </c>
      <c r="J154">
        <f t="shared" si="2"/>
        <v>4</v>
      </c>
    </row>
    <row r="155" spans="1:10" hidden="1">
      <c r="A155">
        <v>257</v>
      </c>
      <c r="B155">
        <v>72</v>
      </c>
      <c r="C155">
        <v>1</v>
      </c>
      <c r="E155">
        <v>2</v>
      </c>
      <c r="H155">
        <v>1</v>
      </c>
      <c r="J155">
        <f t="shared" si="2"/>
        <v>4</v>
      </c>
    </row>
    <row r="156" spans="1:10" hidden="1">
      <c r="A156">
        <v>258</v>
      </c>
      <c r="B156">
        <v>72</v>
      </c>
      <c r="J156">
        <f t="shared" si="2"/>
        <v>0</v>
      </c>
    </row>
    <row r="157" spans="1:10" hidden="1">
      <c r="A157">
        <v>259</v>
      </c>
      <c r="B157">
        <v>72</v>
      </c>
      <c r="D157">
        <v>1</v>
      </c>
      <c r="E157">
        <v>1</v>
      </c>
      <c r="F157">
        <v>2</v>
      </c>
      <c r="J157">
        <f t="shared" si="2"/>
        <v>4</v>
      </c>
    </row>
    <row r="158" spans="1:10" hidden="1">
      <c r="A158">
        <v>260</v>
      </c>
      <c r="B158">
        <v>72</v>
      </c>
      <c r="J158">
        <f t="shared" si="2"/>
        <v>0</v>
      </c>
    </row>
    <row r="159" spans="1:10" hidden="1">
      <c r="A159">
        <v>261</v>
      </c>
      <c r="B159">
        <v>72</v>
      </c>
      <c r="J159">
        <f t="shared" si="2"/>
        <v>0</v>
      </c>
    </row>
    <row r="160" spans="1:10" hidden="1">
      <c r="A160">
        <v>262</v>
      </c>
      <c r="B160">
        <v>72</v>
      </c>
      <c r="J160">
        <f t="shared" si="2"/>
        <v>0</v>
      </c>
    </row>
    <row r="161" spans="1:10" hidden="1">
      <c r="A161">
        <v>263</v>
      </c>
      <c r="B161">
        <v>72</v>
      </c>
      <c r="J161">
        <f t="shared" si="2"/>
        <v>0</v>
      </c>
    </row>
    <row r="162" spans="1:10" hidden="1">
      <c r="A162">
        <v>264</v>
      </c>
      <c r="B162">
        <v>72</v>
      </c>
      <c r="J162">
        <f t="shared" si="2"/>
        <v>0</v>
      </c>
    </row>
    <row r="163" spans="1:10" hidden="1">
      <c r="A163">
        <v>265</v>
      </c>
      <c r="B163">
        <v>72</v>
      </c>
      <c r="C163">
        <v>1</v>
      </c>
      <c r="G163">
        <v>2</v>
      </c>
      <c r="H163">
        <v>1</v>
      </c>
      <c r="J163">
        <f t="shared" si="2"/>
        <v>4</v>
      </c>
    </row>
    <row r="164" spans="1:10" hidden="1">
      <c r="A164">
        <v>266</v>
      </c>
      <c r="B164">
        <v>72</v>
      </c>
      <c r="J164">
        <f t="shared" si="2"/>
        <v>0</v>
      </c>
    </row>
    <row r="165" spans="1:10" hidden="1">
      <c r="A165">
        <v>267</v>
      </c>
      <c r="B165">
        <v>72</v>
      </c>
      <c r="J165">
        <f t="shared" si="2"/>
        <v>0</v>
      </c>
    </row>
    <row r="166" spans="1:10" hidden="1">
      <c r="A166">
        <v>268</v>
      </c>
      <c r="B166">
        <v>72</v>
      </c>
      <c r="J166">
        <f t="shared" si="2"/>
        <v>0</v>
      </c>
    </row>
    <row r="167" spans="1:10" hidden="1">
      <c r="A167">
        <v>269</v>
      </c>
      <c r="B167">
        <v>72</v>
      </c>
      <c r="J167">
        <f t="shared" si="2"/>
        <v>0</v>
      </c>
    </row>
    <row r="168" spans="1:10" hidden="1">
      <c r="A168">
        <v>270</v>
      </c>
      <c r="B168">
        <v>72</v>
      </c>
      <c r="J168">
        <f t="shared" si="2"/>
        <v>0</v>
      </c>
    </row>
    <row r="169" spans="1:10" hidden="1">
      <c r="A169">
        <v>271</v>
      </c>
      <c r="B169">
        <v>72</v>
      </c>
      <c r="J169">
        <f t="shared" si="2"/>
        <v>0</v>
      </c>
    </row>
    <row r="170" spans="1:10" hidden="1">
      <c r="A170">
        <v>272</v>
      </c>
      <c r="B170">
        <v>72</v>
      </c>
      <c r="J170">
        <f t="shared" si="2"/>
        <v>0</v>
      </c>
    </row>
    <row r="171" spans="1:10" hidden="1">
      <c r="A171">
        <v>273</v>
      </c>
      <c r="B171">
        <v>72</v>
      </c>
      <c r="J171">
        <f t="shared" si="2"/>
        <v>0</v>
      </c>
    </row>
    <row r="172" spans="1:10" hidden="1">
      <c r="A172">
        <v>274</v>
      </c>
      <c r="B172">
        <v>72</v>
      </c>
      <c r="J172">
        <f t="shared" si="2"/>
        <v>0</v>
      </c>
    </row>
    <row r="173" spans="1:10" hidden="1">
      <c r="A173">
        <v>275</v>
      </c>
      <c r="B173">
        <v>72</v>
      </c>
      <c r="J173">
        <f t="shared" si="2"/>
        <v>0</v>
      </c>
    </row>
    <row r="174" spans="1:10" hidden="1">
      <c r="A174">
        <v>276</v>
      </c>
      <c r="B174">
        <v>72</v>
      </c>
      <c r="J174">
        <f t="shared" si="2"/>
        <v>0</v>
      </c>
    </row>
    <row r="175" spans="1:10" hidden="1">
      <c r="A175">
        <v>277</v>
      </c>
      <c r="B175">
        <v>72</v>
      </c>
      <c r="J175">
        <f t="shared" si="2"/>
        <v>0</v>
      </c>
    </row>
    <row r="176" spans="1:10" hidden="1">
      <c r="A176">
        <v>278</v>
      </c>
      <c r="B176">
        <v>72</v>
      </c>
      <c r="J176">
        <f t="shared" si="2"/>
        <v>0</v>
      </c>
    </row>
    <row r="177" spans="1:10" hidden="1">
      <c r="A177">
        <v>279</v>
      </c>
      <c r="B177">
        <v>72</v>
      </c>
      <c r="J177">
        <f t="shared" si="2"/>
        <v>0</v>
      </c>
    </row>
    <row r="178" spans="1:10" hidden="1">
      <c r="A178">
        <v>280</v>
      </c>
      <c r="B178">
        <v>72</v>
      </c>
      <c r="J178">
        <f t="shared" si="2"/>
        <v>0</v>
      </c>
    </row>
    <row r="179" spans="1:10" hidden="1">
      <c r="A179">
        <v>281</v>
      </c>
      <c r="B179">
        <v>72</v>
      </c>
      <c r="J179">
        <f t="shared" si="2"/>
        <v>0</v>
      </c>
    </row>
    <row r="180" spans="1:10" hidden="1">
      <c r="A180">
        <v>282</v>
      </c>
      <c r="B180">
        <v>72</v>
      </c>
      <c r="J180">
        <f t="shared" si="2"/>
        <v>0</v>
      </c>
    </row>
    <row r="181" spans="1:10" hidden="1">
      <c r="A181">
        <v>283</v>
      </c>
      <c r="B181">
        <v>72</v>
      </c>
      <c r="J181">
        <f t="shared" si="2"/>
        <v>0</v>
      </c>
    </row>
    <row r="182" spans="1:10" hidden="1">
      <c r="A182">
        <v>239</v>
      </c>
      <c r="B182">
        <v>71</v>
      </c>
      <c r="J182">
        <f t="shared" si="2"/>
        <v>0</v>
      </c>
    </row>
    <row r="183" spans="1:10" hidden="1">
      <c r="A183">
        <v>240</v>
      </c>
      <c r="B183">
        <v>71</v>
      </c>
      <c r="J183">
        <f t="shared" si="2"/>
        <v>0</v>
      </c>
    </row>
    <row r="184" spans="1:10" hidden="1">
      <c r="A184">
        <v>241</v>
      </c>
      <c r="B184">
        <v>71</v>
      </c>
      <c r="J184">
        <f t="shared" si="2"/>
        <v>0</v>
      </c>
    </row>
    <row r="185" spans="1:10" hidden="1">
      <c r="A185">
        <v>242</v>
      </c>
      <c r="B185">
        <v>71</v>
      </c>
      <c r="J185">
        <f t="shared" si="2"/>
        <v>0</v>
      </c>
    </row>
    <row r="186" spans="1:10" hidden="1">
      <c r="A186">
        <v>243</v>
      </c>
      <c r="B186">
        <v>71</v>
      </c>
      <c r="J186">
        <f t="shared" si="2"/>
        <v>0</v>
      </c>
    </row>
    <row r="187" spans="1:10" hidden="1">
      <c r="A187">
        <v>244</v>
      </c>
      <c r="B187">
        <v>71</v>
      </c>
      <c r="J187">
        <f t="shared" si="2"/>
        <v>0</v>
      </c>
    </row>
    <row r="188" spans="1:10" hidden="1">
      <c r="A188">
        <v>245</v>
      </c>
      <c r="B188">
        <v>71</v>
      </c>
      <c r="J188">
        <f t="shared" si="2"/>
        <v>0</v>
      </c>
    </row>
    <row r="189" spans="1:10" hidden="1">
      <c r="A189">
        <v>246</v>
      </c>
      <c r="B189">
        <v>71</v>
      </c>
      <c r="J189">
        <f t="shared" si="2"/>
        <v>0</v>
      </c>
    </row>
    <row r="190" spans="1:10" hidden="1">
      <c r="A190">
        <v>247</v>
      </c>
      <c r="B190">
        <v>71</v>
      </c>
      <c r="J190">
        <f t="shared" si="2"/>
        <v>0</v>
      </c>
    </row>
    <row r="191" spans="1:10" hidden="1">
      <c r="A191">
        <v>248</v>
      </c>
      <c r="B191">
        <v>71</v>
      </c>
      <c r="J191">
        <f t="shared" si="2"/>
        <v>0</v>
      </c>
    </row>
    <row r="192" spans="1:10" hidden="1">
      <c r="A192">
        <v>249</v>
      </c>
      <c r="B192">
        <v>71</v>
      </c>
      <c r="J192">
        <f t="shared" si="2"/>
        <v>0</v>
      </c>
    </row>
    <row r="193" spans="1:10" hidden="1">
      <c r="A193">
        <v>250</v>
      </c>
      <c r="B193">
        <v>71</v>
      </c>
      <c r="J193">
        <f t="shared" si="2"/>
        <v>0</v>
      </c>
    </row>
    <row r="194" spans="1:10" hidden="1">
      <c r="A194">
        <v>251</v>
      </c>
      <c r="B194">
        <v>71</v>
      </c>
      <c r="J194">
        <f t="shared" si="2"/>
        <v>0</v>
      </c>
    </row>
    <row r="195" spans="1:10" hidden="1">
      <c r="A195">
        <v>252</v>
      </c>
      <c r="B195">
        <v>71</v>
      </c>
      <c r="J195">
        <f t="shared" ref="J195:J258" si="3">SUM(C195:I195)</f>
        <v>0</v>
      </c>
    </row>
    <row r="196" spans="1:10" hidden="1">
      <c r="A196">
        <v>253</v>
      </c>
      <c r="B196">
        <v>71</v>
      </c>
      <c r="J196">
        <f t="shared" si="3"/>
        <v>0</v>
      </c>
    </row>
    <row r="197" spans="1:10" hidden="1">
      <c r="A197">
        <v>254</v>
      </c>
      <c r="B197">
        <v>71</v>
      </c>
      <c r="D197">
        <v>1</v>
      </c>
      <c r="G197">
        <v>1</v>
      </c>
      <c r="H197">
        <v>1</v>
      </c>
      <c r="I197">
        <v>1</v>
      </c>
      <c r="J197">
        <f t="shared" si="3"/>
        <v>4</v>
      </c>
    </row>
    <row r="198" spans="1:10" hidden="1">
      <c r="A198">
        <v>255</v>
      </c>
      <c r="B198">
        <v>71</v>
      </c>
      <c r="J198">
        <f t="shared" si="3"/>
        <v>0</v>
      </c>
    </row>
    <row r="199" spans="1:10" hidden="1">
      <c r="A199">
        <v>256</v>
      </c>
      <c r="B199">
        <v>71</v>
      </c>
      <c r="C199">
        <v>1</v>
      </c>
      <c r="D199">
        <v>1</v>
      </c>
      <c r="E199">
        <v>1</v>
      </c>
      <c r="F199">
        <v>1</v>
      </c>
      <c r="J199">
        <f t="shared" si="3"/>
        <v>4</v>
      </c>
    </row>
    <row r="200" spans="1:10" hidden="1">
      <c r="A200">
        <v>257</v>
      </c>
      <c r="B200">
        <v>71</v>
      </c>
      <c r="J200">
        <f t="shared" si="3"/>
        <v>0</v>
      </c>
    </row>
    <row r="201" spans="1:10" hidden="1">
      <c r="A201">
        <v>258</v>
      </c>
      <c r="B201">
        <v>71</v>
      </c>
      <c r="J201">
        <f t="shared" si="3"/>
        <v>0</v>
      </c>
    </row>
    <row r="202" spans="1:10" hidden="1">
      <c r="A202">
        <v>259</v>
      </c>
      <c r="B202">
        <v>71</v>
      </c>
      <c r="C202">
        <v>1</v>
      </c>
      <c r="D202">
        <v>1</v>
      </c>
      <c r="G202">
        <v>1</v>
      </c>
      <c r="I202">
        <v>1</v>
      </c>
      <c r="J202">
        <f t="shared" si="3"/>
        <v>4</v>
      </c>
    </row>
    <row r="203" spans="1:10" hidden="1">
      <c r="A203">
        <v>260</v>
      </c>
      <c r="B203">
        <v>71</v>
      </c>
      <c r="J203">
        <f t="shared" si="3"/>
        <v>0</v>
      </c>
    </row>
    <row r="204" spans="1:10" hidden="1">
      <c r="A204">
        <v>261</v>
      </c>
      <c r="B204">
        <v>71</v>
      </c>
      <c r="J204">
        <f t="shared" si="3"/>
        <v>0</v>
      </c>
    </row>
    <row r="205" spans="1:10" hidden="1">
      <c r="A205">
        <v>262</v>
      </c>
      <c r="B205">
        <v>71</v>
      </c>
      <c r="J205">
        <f t="shared" si="3"/>
        <v>0</v>
      </c>
    </row>
    <row r="206" spans="1:10" hidden="1">
      <c r="A206">
        <v>263</v>
      </c>
      <c r="B206">
        <v>71</v>
      </c>
      <c r="J206">
        <f t="shared" si="3"/>
        <v>0</v>
      </c>
    </row>
    <row r="207" spans="1:10" hidden="1">
      <c r="A207">
        <v>264</v>
      </c>
      <c r="B207">
        <v>71</v>
      </c>
      <c r="C207">
        <v>1</v>
      </c>
      <c r="E207">
        <v>1</v>
      </c>
      <c r="G207">
        <v>1</v>
      </c>
      <c r="H207">
        <v>1</v>
      </c>
      <c r="J207">
        <f t="shared" si="3"/>
        <v>4</v>
      </c>
    </row>
    <row r="208" spans="1:10" hidden="1">
      <c r="A208">
        <v>265</v>
      </c>
      <c r="B208">
        <v>71</v>
      </c>
      <c r="F208">
        <v>2</v>
      </c>
      <c r="H208">
        <v>1</v>
      </c>
      <c r="I208">
        <v>1</v>
      </c>
      <c r="J208">
        <f t="shared" si="3"/>
        <v>4</v>
      </c>
    </row>
    <row r="209" spans="1:10" hidden="1">
      <c r="A209">
        <v>266</v>
      </c>
      <c r="B209">
        <v>71</v>
      </c>
      <c r="J209">
        <f t="shared" si="3"/>
        <v>0</v>
      </c>
    </row>
    <row r="210" spans="1:10" hidden="1">
      <c r="A210">
        <v>267</v>
      </c>
      <c r="B210">
        <v>71</v>
      </c>
      <c r="J210">
        <f t="shared" si="3"/>
        <v>0</v>
      </c>
    </row>
    <row r="211" spans="1:10" hidden="1">
      <c r="A211">
        <v>268</v>
      </c>
      <c r="B211">
        <v>71</v>
      </c>
      <c r="J211">
        <f t="shared" si="3"/>
        <v>0</v>
      </c>
    </row>
    <row r="212" spans="1:10" hidden="1">
      <c r="A212">
        <v>269</v>
      </c>
      <c r="B212">
        <v>71</v>
      </c>
      <c r="J212">
        <f t="shared" si="3"/>
        <v>0</v>
      </c>
    </row>
    <row r="213" spans="1:10" hidden="1">
      <c r="A213">
        <v>270</v>
      </c>
      <c r="B213">
        <v>71</v>
      </c>
      <c r="J213">
        <f t="shared" si="3"/>
        <v>0</v>
      </c>
    </row>
    <row r="214" spans="1:10" hidden="1">
      <c r="A214">
        <v>271</v>
      </c>
      <c r="B214">
        <v>71</v>
      </c>
      <c r="J214">
        <f t="shared" si="3"/>
        <v>0</v>
      </c>
    </row>
    <row r="215" spans="1:10" hidden="1">
      <c r="A215">
        <v>272</v>
      </c>
      <c r="B215">
        <v>71</v>
      </c>
      <c r="J215">
        <f t="shared" si="3"/>
        <v>0</v>
      </c>
    </row>
    <row r="216" spans="1:10" hidden="1">
      <c r="A216">
        <v>273</v>
      </c>
      <c r="B216">
        <v>71</v>
      </c>
      <c r="J216">
        <f t="shared" si="3"/>
        <v>0</v>
      </c>
    </row>
    <row r="217" spans="1:10" hidden="1">
      <c r="A217">
        <v>274</v>
      </c>
      <c r="B217">
        <v>71</v>
      </c>
      <c r="J217">
        <f t="shared" si="3"/>
        <v>0</v>
      </c>
    </row>
    <row r="218" spans="1:10" hidden="1">
      <c r="A218">
        <v>275</v>
      </c>
      <c r="B218">
        <v>71</v>
      </c>
      <c r="J218">
        <f t="shared" si="3"/>
        <v>0</v>
      </c>
    </row>
    <row r="219" spans="1:10" hidden="1">
      <c r="A219">
        <v>276</v>
      </c>
      <c r="B219">
        <v>71</v>
      </c>
      <c r="J219">
        <f t="shared" si="3"/>
        <v>0</v>
      </c>
    </row>
    <row r="220" spans="1:10" hidden="1">
      <c r="A220">
        <v>277</v>
      </c>
      <c r="B220">
        <v>71</v>
      </c>
      <c r="J220">
        <f t="shared" si="3"/>
        <v>0</v>
      </c>
    </row>
    <row r="221" spans="1:10" hidden="1">
      <c r="A221">
        <v>278</v>
      </c>
      <c r="B221">
        <v>71</v>
      </c>
      <c r="J221">
        <f t="shared" si="3"/>
        <v>0</v>
      </c>
    </row>
    <row r="222" spans="1:10" hidden="1">
      <c r="A222">
        <v>279</v>
      </c>
      <c r="B222">
        <v>71</v>
      </c>
      <c r="J222">
        <f t="shared" si="3"/>
        <v>0</v>
      </c>
    </row>
    <row r="223" spans="1:10" hidden="1">
      <c r="A223">
        <v>280</v>
      </c>
      <c r="B223">
        <v>71</v>
      </c>
      <c r="J223">
        <f t="shared" si="3"/>
        <v>0</v>
      </c>
    </row>
    <row r="224" spans="1:10" hidden="1">
      <c r="A224">
        <v>281</v>
      </c>
      <c r="B224">
        <v>71</v>
      </c>
      <c r="J224">
        <f t="shared" si="3"/>
        <v>0</v>
      </c>
    </row>
    <row r="225" spans="1:10" hidden="1">
      <c r="A225">
        <v>282</v>
      </c>
      <c r="B225">
        <v>71</v>
      </c>
      <c r="J225">
        <f t="shared" si="3"/>
        <v>0</v>
      </c>
    </row>
    <row r="226" spans="1:10" hidden="1">
      <c r="A226">
        <v>283</v>
      </c>
      <c r="B226">
        <v>71</v>
      </c>
      <c r="J226">
        <f t="shared" si="3"/>
        <v>0</v>
      </c>
    </row>
    <row r="227" spans="1:10" hidden="1">
      <c r="A227">
        <v>239</v>
      </c>
      <c r="B227">
        <v>70</v>
      </c>
      <c r="J227">
        <f t="shared" si="3"/>
        <v>0</v>
      </c>
    </row>
    <row r="228" spans="1:10" hidden="1">
      <c r="A228">
        <v>240</v>
      </c>
      <c r="B228">
        <v>70</v>
      </c>
      <c r="J228">
        <f t="shared" si="3"/>
        <v>0</v>
      </c>
    </row>
    <row r="229" spans="1:10" hidden="1">
      <c r="A229">
        <v>241</v>
      </c>
      <c r="B229">
        <v>70</v>
      </c>
      <c r="J229">
        <f t="shared" si="3"/>
        <v>0</v>
      </c>
    </row>
    <row r="230" spans="1:10" hidden="1">
      <c r="A230">
        <v>242</v>
      </c>
      <c r="B230">
        <v>70</v>
      </c>
      <c r="J230">
        <f t="shared" si="3"/>
        <v>0</v>
      </c>
    </row>
    <row r="231" spans="1:10" hidden="1">
      <c r="A231">
        <v>243</v>
      </c>
      <c r="B231">
        <v>70</v>
      </c>
      <c r="J231">
        <f t="shared" si="3"/>
        <v>0</v>
      </c>
    </row>
    <row r="232" spans="1:10" hidden="1">
      <c r="A232">
        <v>244</v>
      </c>
      <c r="B232">
        <v>70</v>
      </c>
      <c r="J232">
        <f t="shared" si="3"/>
        <v>0</v>
      </c>
    </row>
    <row r="233" spans="1:10" hidden="1">
      <c r="A233">
        <v>245</v>
      </c>
      <c r="B233">
        <v>70</v>
      </c>
      <c r="J233">
        <f t="shared" si="3"/>
        <v>0</v>
      </c>
    </row>
    <row r="234" spans="1:10" hidden="1">
      <c r="A234">
        <v>246</v>
      </c>
      <c r="B234">
        <v>70</v>
      </c>
      <c r="J234">
        <f t="shared" si="3"/>
        <v>0</v>
      </c>
    </row>
    <row r="235" spans="1:10" hidden="1">
      <c r="A235">
        <v>247</v>
      </c>
      <c r="B235">
        <v>70</v>
      </c>
      <c r="J235">
        <f t="shared" si="3"/>
        <v>0</v>
      </c>
    </row>
    <row r="236" spans="1:10" hidden="1">
      <c r="A236">
        <v>248</v>
      </c>
      <c r="B236">
        <v>70</v>
      </c>
      <c r="J236">
        <f t="shared" si="3"/>
        <v>0</v>
      </c>
    </row>
    <row r="237" spans="1:10" hidden="1">
      <c r="A237">
        <v>249</v>
      </c>
      <c r="B237">
        <v>70</v>
      </c>
      <c r="J237">
        <f t="shared" si="3"/>
        <v>0</v>
      </c>
    </row>
    <row r="238" spans="1:10" hidden="1">
      <c r="A238">
        <v>250</v>
      </c>
      <c r="B238">
        <v>70</v>
      </c>
      <c r="J238">
        <f t="shared" si="3"/>
        <v>0</v>
      </c>
    </row>
    <row r="239" spans="1:10" hidden="1">
      <c r="A239">
        <v>251</v>
      </c>
      <c r="B239">
        <v>70</v>
      </c>
      <c r="J239">
        <f t="shared" si="3"/>
        <v>0</v>
      </c>
    </row>
    <row r="240" spans="1:10" hidden="1">
      <c r="A240">
        <v>252</v>
      </c>
      <c r="B240">
        <v>70</v>
      </c>
      <c r="J240">
        <f t="shared" si="3"/>
        <v>0</v>
      </c>
    </row>
    <row r="241" spans="1:10" hidden="1">
      <c r="A241">
        <v>253</v>
      </c>
      <c r="B241">
        <v>70</v>
      </c>
      <c r="J241">
        <f t="shared" si="3"/>
        <v>0</v>
      </c>
    </row>
    <row r="242" spans="1:10" hidden="1">
      <c r="A242">
        <v>254</v>
      </c>
      <c r="B242">
        <v>70</v>
      </c>
      <c r="G242">
        <v>1</v>
      </c>
      <c r="H242">
        <v>1</v>
      </c>
      <c r="I242">
        <v>2</v>
      </c>
      <c r="J242">
        <f t="shared" si="3"/>
        <v>4</v>
      </c>
    </row>
    <row r="243" spans="1:10" hidden="1">
      <c r="A243">
        <v>255</v>
      </c>
      <c r="B243">
        <v>70</v>
      </c>
      <c r="J243">
        <f t="shared" si="3"/>
        <v>0</v>
      </c>
    </row>
    <row r="244" spans="1:10" hidden="1">
      <c r="A244">
        <v>256</v>
      </c>
      <c r="B244">
        <v>70</v>
      </c>
      <c r="C244">
        <v>1</v>
      </c>
      <c r="F244">
        <v>1</v>
      </c>
      <c r="G244">
        <v>1</v>
      </c>
      <c r="I244">
        <v>1</v>
      </c>
      <c r="J244">
        <f t="shared" si="3"/>
        <v>4</v>
      </c>
    </row>
    <row r="245" spans="1:10" hidden="1">
      <c r="A245">
        <v>257</v>
      </c>
      <c r="B245">
        <v>70</v>
      </c>
      <c r="F245">
        <v>1</v>
      </c>
      <c r="G245">
        <v>1</v>
      </c>
      <c r="I245">
        <v>2</v>
      </c>
      <c r="J245">
        <f t="shared" si="3"/>
        <v>4</v>
      </c>
    </row>
    <row r="246" spans="1:10" hidden="1">
      <c r="A246">
        <v>258</v>
      </c>
      <c r="B246">
        <v>70</v>
      </c>
      <c r="D246">
        <v>1</v>
      </c>
      <c r="E246">
        <v>1</v>
      </c>
      <c r="I246">
        <v>2</v>
      </c>
      <c r="J246">
        <f t="shared" si="3"/>
        <v>4</v>
      </c>
    </row>
    <row r="247" spans="1:10" hidden="1">
      <c r="A247">
        <v>259</v>
      </c>
      <c r="B247">
        <v>70</v>
      </c>
      <c r="D247">
        <v>1</v>
      </c>
      <c r="E247">
        <v>1</v>
      </c>
      <c r="H247">
        <v>1</v>
      </c>
      <c r="I247">
        <v>1</v>
      </c>
      <c r="J247">
        <f t="shared" si="3"/>
        <v>4</v>
      </c>
    </row>
    <row r="248" spans="1:10" hidden="1">
      <c r="A248">
        <v>260</v>
      </c>
      <c r="B248">
        <v>70</v>
      </c>
      <c r="E248">
        <v>1</v>
      </c>
      <c r="F248">
        <v>1</v>
      </c>
      <c r="G248">
        <v>1</v>
      </c>
      <c r="I248">
        <v>1</v>
      </c>
      <c r="J248">
        <f t="shared" si="3"/>
        <v>4</v>
      </c>
    </row>
    <row r="249" spans="1:10" hidden="1">
      <c r="A249">
        <v>261</v>
      </c>
      <c r="B249">
        <v>70</v>
      </c>
      <c r="J249">
        <f t="shared" si="3"/>
        <v>0</v>
      </c>
    </row>
    <row r="250" spans="1:10" hidden="1">
      <c r="A250">
        <v>262</v>
      </c>
      <c r="B250">
        <v>70</v>
      </c>
      <c r="J250">
        <f t="shared" si="3"/>
        <v>0</v>
      </c>
    </row>
    <row r="251" spans="1:10" hidden="1">
      <c r="A251">
        <v>263</v>
      </c>
      <c r="B251">
        <v>70</v>
      </c>
      <c r="J251">
        <f t="shared" si="3"/>
        <v>0</v>
      </c>
    </row>
    <row r="252" spans="1:10" hidden="1">
      <c r="A252">
        <v>264</v>
      </c>
      <c r="B252">
        <v>70</v>
      </c>
      <c r="E252">
        <v>1</v>
      </c>
      <c r="G252">
        <v>2</v>
      </c>
      <c r="I252">
        <v>1</v>
      </c>
      <c r="J252">
        <f t="shared" si="3"/>
        <v>4</v>
      </c>
    </row>
    <row r="253" spans="1:10" hidden="1">
      <c r="A253">
        <v>265</v>
      </c>
      <c r="B253">
        <v>70</v>
      </c>
      <c r="F253">
        <v>1</v>
      </c>
      <c r="H253">
        <v>2</v>
      </c>
      <c r="I253">
        <v>1</v>
      </c>
      <c r="J253">
        <f t="shared" si="3"/>
        <v>4</v>
      </c>
    </row>
    <row r="254" spans="1:10" hidden="1">
      <c r="A254">
        <v>266</v>
      </c>
      <c r="B254">
        <v>70</v>
      </c>
      <c r="C254">
        <v>1</v>
      </c>
      <c r="F254">
        <v>2</v>
      </c>
      <c r="G254">
        <v>1</v>
      </c>
      <c r="J254">
        <f t="shared" si="3"/>
        <v>4</v>
      </c>
    </row>
    <row r="255" spans="1:10" hidden="1">
      <c r="A255">
        <v>267</v>
      </c>
      <c r="B255">
        <v>70</v>
      </c>
      <c r="E255">
        <v>1</v>
      </c>
      <c r="F255">
        <v>1</v>
      </c>
      <c r="G255">
        <v>1</v>
      </c>
      <c r="H255">
        <v>1</v>
      </c>
      <c r="J255">
        <f t="shared" si="3"/>
        <v>4</v>
      </c>
    </row>
    <row r="256" spans="1:10" hidden="1">
      <c r="A256">
        <v>268</v>
      </c>
      <c r="B256">
        <v>70</v>
      </c>
      <c r="J256">
        <f t="shared" si="3"/>
        <v>0</v>
      </c>
    </row>
    <row r="257" spans="1:10" hidden="1">
      <c r="A257">
        <v>269</v>
      </c>
      <c r="B257">
        <v>70</v>
      </c>
      <c r="J257">
        <f t="shared" si="3"/>
        <v>0</v>
      </c>
    </row>
    <row r="258" spans="1:10" hidden="1">
      <c r="A258">
        <v>270</v>
      </c>
      <c r="B258">
        <v>70</v>
      </c>
      <c r="J258">
        <f t="shared" si="3"/>
        <v>0</v>
      </c>
    </row>
    <row r="259" spans="1:10" hidden="1">
      <c r="A259">
        <v>271</v>
      </c>
      <c r="B259">
        <v>70</v>
      </c>
      <c r="J259">
        <f t="shared" ref="J259:J322" si="4">SUM(C259:I259)</f>
        <v>0</v>
      </c>
    </row>
    <row r="260" spans="1:10" hidden="1">
      <c r="A260">
        <v>272</v>
      </c>
      <c r="B260">
        <v>70</v>
      </c>
      <c r="J260">
        <f t="shared" si="4"/>
        <v>0</v>
      </c>
    </row>
    <row r="261" spans="1:10" hidden="1">
      <c r="A261">
        <v>273</v>
      </c>
      <c r="B261">
        <v>70</v>
      </c>
      <c r="J261">
        <f t="shared" si="4"/>
        <v>0</v>
      </c>
    </row>
    <row r="262" spans="1:10" hidden="1">
      <c r="A262">
        <v>274</v>
      </c>
      <c r="B262">
        <v>70</v>
      </c>
      <c r="J262">
        <f t="shared" si="4"/>
        <v>0</v>
      </c>
    </row>
    <row r="263" spans="1:10" hidden="1">
      <c r="A263">
        <v>275</v>
      </c>
      <c r="B263">
        <v>70</v>
      </c>
      <c r="J263">
        <f t="shared" si="4"/>
        <v>0</v>
      </c>
    </row>
    <row r="264" spans="1:10" hidden="1">
      <c r="A264">
        <v>276</v>
      </c>
      <c r="B264">
        <v>70</v>
      </c>
      <c r="J264">
        <f t="shared" si="4"/>
        <v>0</v>
      </c>
    </row>
    <row r="265" spans="1:10" hidden="1">
      <c r="A265">
        <v>277</v>
      </c>
      <c r="B265">
        <v>70</v>
      </c>
      <c r="J265">
        <f t="shared" si="4"/>
        <v>0</v>
      </c>
    </row>
    <row r="266" spans="1:10" hidden="1">
      <c r="A266">
        <v>278</v>
      </c>
      <c r="B266">
        <v>70</v>
      </c>
      <c r="J266">
        <f t="shared" si="4"/>
        <v>0</v>
      </c>
    </row>
    <row r="267" spans="1:10" hidden="1">
      <c r="A267">
        <v>279</v>
      </c>
      <c r="B267">
        <v>70</v>
      </c>
      <c r="J267">
        <f t="shared" si="4"/>
        <v>0</v>
      </c>
    </row>
    <row r="268" spans="1:10" hidden="1">
      <c r="A268">
        <v>280</v>
      </c>
      <c r="B268">
        <v>70</v>
      </c>
      <c r="J268">
        <f t="shared" si="4"/>
        <v>0</v>
      </c>
    </row>
    <row r="269" spans="1:10" hidden="1">
      <c r="A269">
        <v>281</v>
      </c>
      <c r="B269">
        <v>70</v>
      </c>
      <c r="J269">
        <f t="shared" si="4"/>
        <v>0</v>
      </c>
    </row>
    <row r="270" spans="1:10" hidden="1">
      <c r="A270">
        <v>282</v>
      </c>
      <c r="B270">
        <v>70</v>
      </c>
      <c r="J270">
        <f t="shared" si="4"/>
        <v>0</v>
      </c>
    </row>
    <row r="271" spans="1:10" hidden="1">
      <c r="A271">
        <v>283</v>
      </c>
      <c r="B271">
        <v>70</v>
      </c>
      <c r="J271">
        <f t="shared" si="4"/>
        <v>0</v>
      </c>
    </row>
    <row r="272" spans="1:10" hidden="1">
      <c r="A272">
        <v>239</v>
      </c>
      <c r="B272">
        <v>69</v>
      </c>
      <c r="J272">
        <f t="shared" si="4"/>
        <v>0</v>
      </c>
    </row>
    <row r="273" spans="1:10" hidden="1">
      <c r="A273">
        <v>240</v>
      </c>
      <c r="B273">
        <v>69</v>
      </c>
      <c r="J273">
        <f t="shared" si="4"/>
        <v>0</v>
      </c>
    </row>
    <row r="274" spans="1:10" hidden="1">
      <c r="A274">
        <v>241</v>
      </c>
      <c r="B274">
        <v>69</v>
      </c>
      <c r="J274">
        <f t="shared" si="4"/>
        <v>0</v>
      </c>
    </row>
    <row r="275" spans="1:10" hidden="1">
      <c r="A275">
        <v>242</v>
      </c>
      <c r="B275">
        <v>69</v>
      </c>
      <c r="J275">
        <f t="shared" si="4"/>
        <v>0</v>
      </c>
    </row>
    <row r="276" spans="1:10" hidden="1">
      <c r="A276">
        <v>243</v>
      </c>
      <c r="B276">
        <v>69</v>
      </c>
      <c r="J276">
        <f t="shared" si="4"/>
        <v>0</v>
      </c>
    </row>
    <row r="277" spans="1:10" hidden="1">
      <c r="A277">
        <v>244</v>
      </c>
      <c r="B277">
        <v>69</v>
      </c>
      <c r="J277">
        <f t="shared" si="4"/>
        <v>0</v>
      </c>
    </row>
    <row r="278" spans="1:10" hidden="1">
      <c r="A278">
        <v>245</v>
      </c>
      <c r="B278">
        <v>69</v>
      </c>
      <c r="J278">
        <f t="shared" si="4"/>
        <v>0</v>
      </c>
    </row>
    <row r="279" spans="1:10" hidden="1">
      <c r="A279">
        <v>246</v>
      </c>
      <c r="B279">
        <v>69</v>
      </c>
      <c r="J279">
        <f t="shared" si="4"/>
        <v>0</v>
      </c>
    </row>
    <row r="280" spans="1:10" hidden="1">
      <c r="A280">
        <v>247</v>
      </c>
      <c r="B280">
        <v>69</v>
      </c>
      <c r="J280">
        <f t="shared" si="4"/>
        <v>0</v>
      </c>
    </row>
    <row r="281" spans="1:10" hidden="1">
      <c r="A281">
        <v>248</v>
      </c>
      <c r="B281">
        <v>69</v>
      </c>
      <c r="J281">
        <f t="shared" si="4"/>
        <v>0</v>
      </c>
    </row>
    <row r="282" spans="1:10" hidden="1">
      <c r="A282">
        <v>249</v>
      </c>
      <c r="B282">
        <v>69</v>
      </c>
      <c r="J282">
        <f t="shared" si="4"/>
        <v>0</v>
      </c>
    </row>
    <row r="283" spans="1:10" hidden="1">
      <c r="A283">
        <v>250</v>
      </c>
      <c r="B283">
        <v>69</v>
      </c>
      <c r="J283">
        <f t="shared" si="4"/>
        <v>0</v>
      </c>
    </row>
    <row r="284" spans="1:10" hidden="1">
      <c r="A284">
        <v>251</v>
      </c>
      <c r="B284">
        <v>69</v>
      </c>
      <c r="D284">
        <v>2</v>
      </c>
      <c r="F284">
        <v>1</v>
      </c>
      <c r="I284">
        <v>1</v>
      </c>
      <c r="J284">
        <f t="shared" si="4"/>
        <v>4</v>
      </c>
    </row>
    <row r="285" spans="1:10" hidden="1">
      <c r="A285">
        <v>252</v>
      </c>
      <c r="B285">
        <v>69</v>
      </c>
      <c r="E285">
        <v>1</v>
      </c>
      <c r="F285">
        <v>2</v>
      </c>
      <c r="G285">
        <v>1</v>
      </c>
      <c r="J285">
        <f t="shared" si="4"/>
        <v>4</v>
      </c>
    </row>
    <row r="286" spans="1:10" hidden="1">
      <c r="A286">
        <v>253</v>
      </c>
      <c r="B286">
        <v>69</v>
      </c>
      <c r="J286">
        <f t="shared" si="4"/>
        <v>0</v>
      </c>
    </row>
    <row r="287" spans="1:10" hidden="1">
      <c r="A287">
        <v>254</v>
      </c>
      <c r="B287">
        <v>69</v>
      </c>
      <c r="D287">
        <v>1</v>
      </c>
      <c r="F287">
        <v>1</v>
      </c>
      <c r="H287">
        <v>1</v>
      </c>
      <c r="I287">
        <v>1</v>
      </c>
      <c r="J287">
        <f t="shared" si="4"/>
        <v>4</v>
      </c>
    </row>
    <row r="288" spans="1:10" hidden="1">
      <c r="A288">
        <v>255</v>
      </c>
      <c r="B288">
        <v>69</v>
      </c>
      <c r="D288">
        <v>1</v>
      </c>
      <c r="E288">
        <v>1</v>
      </c>
      <c r="F288">
        <v>1</v>
      </c>
      <c r="I288">
        <v>1</v>
      </c>
      <c r="J288">
        <f t="shared" si="4"/>
        <v>4</v>
      </c>
    </row>
    <row r="289" spans="1:10" hidden="1">
      <c r="A289">
        <v>256</v>
      </c>
      <c r="B289">
        <v>69</v>
      </c>
      <c r="D289">
        <v>1</v>
      </c>
      <c r="E289">
        <v>1</v>
      </c>
      <c r="G289">
        <v>1</v>
      </c>
      <c r="I289">
        <v>1</v>
      </c>
      <c r="J289">
        <f t="shared" si="4"/>
        <v>4</v>
      </c>
    </row>
    <row r="290" spans="1:10" hidden="1">
      <c r="A290">
        <v>257</v>
      </c>
      <c r="B290">
        <v>69</v>
      </c>
      <c r="J290">
        <f t="shared" si="4"/>
        <v>0</v>
      </c>
    </row>
    <row r="291" spans="1:10" hidden="1">
      <c r="A291">
        <v>258</v>
      </c>
      <c r="B291">
        <v>69</v>
      </c>
      <c r="C291">
        <v>1</v>
      </c>
      <c r="D291">
        <v>1</v>
      </c>
      <c r="E291">
        <v>1</v>
      </c>
      <c r="H291">
        <v>1</v>
      </c>
      <c r="J291">
        <f t="shared" si="4"/>
        <v>4</v>
      </c>
    </row>
    <row r="292" spans="1:10" hidden="1">
      <c r="A292">
        <v>259</v>
      </c>
      <c r="B292">
        <v>69</v>
      </c>
      <c r="G292">
        <v>1</v>
      </c>
      <c r="H292">
        <v>1</v>
      </c>
      <c r="I292">
        <v>2</v>
      </c>
      <c r="J292">
        <f t="shared" si="4"/>
        <v>4</v>
      </c>
    </row>
    <row r="293" spans="1:10" hidden="1">
      <c r="A293">
        <v>260</v>
      </c>
      <c r="B293">
        <v>69</v>
      </c>
      <c r="D293">
        <v>1</v>
      </c>
      <c r="E293">
        <v>1</v>
      </c>
      <c r="G293">
        <v>1</v>
      </c>
      <c r="I293">
        <v>1</v>
      </c>
      <c r="J293">
        <f t="shared" si="4"/>
        <v>4</v>
      </c>
    </row>
    <row r="294" spans="1:10" hidden="1">
      <c r="A294">
        <v>261</v>
      </c>
      <c r="B294">
        <v>69</v>
      </c>
      <c r="D294">
        <v>1</v>
      </c>
      <c r="H294">
        <v>2</v>
      </c>
      <c r="I294">
        <v>1</v>
      </c>
      <c r="J294">
        <f t="shared" si="4"/>
        <v>4</v>
      </c>
    </row>
    <row r="295" spans="1:10" hidden="1">
      <c r="A295">
        <v>262</v>
      </c>
      <c r="B295">
        <v>69</v>
      </c>
      <c r="D295">
        <v>1</v>
      </c>
      <c r="F295">
        <v>1</v>
      </c>
      <c r="G295">
        <v>1</v>
      </c>
      <c r="I295">
        <v>1</v>
      </c>
      <c r="J295">
        <f t="shared" si="4"/>
        <v>4</v>
      </c>
    </row>
    <row r="296" spans="1:10" hidden="1">
      <c r="A296">
        <v>263</v>
      </c>
      <c r="B296">
        <v>69</v>
      </c>
      <c r="D296">
        <v>2</v>
      </c>
      <c r="F296">
        <v>1</v>
      </c>
      <c r="G296">
        <v>1</v>
      </c>
      <c r="J296">
        <f t="shared" si="4"/>
        <v>4</v>
      </c>
    </row>
    <row r="297" spans="1:10" hidden="1">
      <c r="A297">
        <v>264</v>
      </c>
      <c r="B297">
        <v>69</v>
      </c>
      <c r="C297">
        <v>1</v>
      </c>
      <c r="D297">
        <v>1</v>
      </c>
      <c r="H297">
        <v>2</v>
      </c>
      <c r="J297">
        <f t="shared" si="4"/>
        <v>4</v>
      </c>
    </row>
    <row r="298" spans="1:10" hidden="1">
      <c r="A298">
        <v>265</v>
      </c>
      <c r="B298">
        <v>69</v>
      </c>
      <c r="C298">
        <v>1</v>
      </c>
      <c r="F298">
        <v>1</v>
      </c>
      <c r="G298">
        <v>1</v>
      </c>
      <c r="H298">
        <v>1</v>
      </c>
      <c r="J298">
        <f t="shared" si="4"/>
        <v>4</v>
      </c>
    </row>
    <row r="299" spans="1:10" hidden="1">
      <c r="A299">
        <v>266</v>
      </c>
      <c r="B299">
        <v>69</v>
      </c>
      <c r="E299">
        <v>2</v>
      </c>
      <c r="H299">
        <v>1</v>
      </c>
      <c r="I299">
        <v>1</v>
      </c>
      <c r="J299">
        <f t="shared" si="4"/>
        <v>4</v>
      </c>
    </row>
    <row r="300" spans="1:10" hidden="1">
      <c r="A300">
        <v>267</v>
      </c>
      <c r="B300">
        <v>69</v>
      </c>
      <c r="C300">
        <v>1</v>
      </c>
      <c r="G300">
        <v>1</v>
      </c>
      <c r="H300">
        <v>2</v>
      </c>
      <c r="J300">
        <f t="shared" si="4"/>
        <v>4</v>
      </c>
    </row>
    <row r="301" spans="1:10" hidden="1">
      <c r="A301">
        <v>268</v>
      </c>
      <c r="B301">
        <v>69</v>
      </c>
      <c r="C301">
        <v>1</v>
      </c>
      <c r="E301">
        <v>2</v>
      </c>
      <c r="I301">
        <v>1</v>
      </c>
      <c r="J301">
        <f t="shared" si="4"/>
        <v>4</v>
      </c>
    </row>
    <row r="302" spans="1:10" hidden="1">
      <c r="A302">
        <v>269</v>
      </c>
      <c r="B302">
        <v>69</v>
      </c>
      <c r="C302">
        <v>1</v>
      </c>
      <c r="D302">
        <v>2</v>
      </c>
      <c r="E302">
        <v>1</v>
      </c>
      <c r="J302">
        <f t="shared" si="4"/>
        <v>4</v>
      </c>
    </row>
    <row r="303" spans="1:10" hidden="1">
      <c r="A303">
        <v>270</v>
      </c>
      <c r="B303">
        <v>69</v>
      </c>
      <c r="J303">
        <f t="shared" si="4"/>
        <v>0</v>
      </c>
    </row>
    <row r="304" spans="1:10" hidden="1">
      <c r="A304">
        <v>271</v>
      </c>
      <c r="B304">
        <v>69</v>
      </c>
      <c r="J304">
        <f t="shared" si="4"/>
        <v>0</v>
      </c>
    </row>
    <row r="305" spans="1:10" hidden="1">
      <c r="A305">
        <v>272</v>
      </c>
      <c r="B305">
        <v>69</v>
      </c>
      <c r="J305">
        <f t="shared" si="4"/>
        <v>0</v>
      </c>
    </row>
    <row r="306" spans="1:10" hidden="1">
      <c r="A306">
        <v>273</v>
      </c>
      <c r="B306">
        <v>69</v>
      </c>
      <c r="J306">
        <f t="shared" si="4"/>
        <v>0</v>
      </c>
    </row>
    <row r="307" spans="1:10" hidden="1">
      <c r="A307">
        <v>274</v>
      </c>
      <c r="B307">
        <v>69</v>
      </c>
      <c r="J307">
        <f t="shared" si="4"/>
        <v>0</v>
      </c>
    </row>
    <row r="308" spans="1:10" hidden="1">
      <c r="A308">
        <v>275</v>
      </c>
      <c r="B308">
        <v>69</v>
      </c>
      <c r="J308">
        <f t="shared" si="4"/>
        <v>0</v>
      </c>
    </row>
    <row r="309" spans="1:10" hidden="1">
      <c r="A309">
        <v>276</v>
      </c>
      <c r="B309">
        <v>69</v>
      </c>
      <c r="J309">
        <f t="shared" si="4"/>
        <v>0</v>
      </c>
    </row>
    <row r="310" spans="1:10" hidden="1">
      <c r="A310">
        <v>277</v>
      </c>
      <c r="B310">
        <v>69</v>
      </c>
      <c r="J310">
        <f t="shared" si="4"/>
        <v>0</v>
      </c>
    </row>
    <row r="311" spans="1:10" hidden="1">
      <c r="A311">
        <v>278</v>
      </c>
      <c r="B311">
        <v>69</v>
      </c>
      <c r="J311">
        <f t="shared" si="4"/>
        <v>0</v>
      </c>
    </row>
    <row r="312" spans="1:10" hidden="1">
      <c r="A312">
        <v>279</v>
      </c>
      <c r="B312">
        <v>69</v>
      </c>
      <c r="J312">
        <f t="shared" si="4"/>
        <v>0</v>
      </c>
    </row>
    <row r="313" spans="1:10" hidden="1">
      <c r="A313">
        <v>280</v>
      </c>
      <c r="B313">
        <v>69</v>
      </c>
      <c r="J313">
        <f t="shared" si="4"/>
        <v>0</v>
      </c>
    </row>
    <row r="314" spans="1:10" hidden="1">
      <c r="A314">
        <v>281</v>
      </c>
      <c r="B314">
        <v>69</v>
      </c>
      <c r="J314">
        <f t="shared" si="4"/>
        <v>0</v>
      </c>
    </row>
    <row r="315" spans="1:10" hidden="1">
      <c r="A315">
        <v>282</v>
      </c>
      <c r="B315">
        <v>69</v>
      </c>
      <c r="J315">
        <f t="shared" si="4"/>
        <v>0</v>
      </c>
    </row>
    <row r="316" spans="1:10" hidden="1">
      <c r="A316">
        <v>283</v>
      </c>
      <c r="B316">
        <v>69</v>
      </c>
      <c r="J316">
        <f t="shared" si="4"/>
        <v>0</v>
      </c>
    </row>
    <row r="317" spans="1:10" hidden="1">
      <c r="A317">
        <v>239</v>
      </c>
      <c r="B317">
        <v>68</v>
      </c>
      <c r="J317">
        <f t="shared" si="4"/>
        <v>0</v>
      </c>
    </row>
    <row r="318" spans="1:10" hidden="1">
      <c r="A318">
        <v>240</v>
      </c>
      <c r="B318">
        <v>68</v>
      </c>
      <c r="J318">
        <f t="shared" si="4"/>
        <v>0</v>
      </c>
    </row>
    <row r="319" spans="1:10" hidden="1">
      <c r="A319">
        <v>241</v>
      </c>
      <c r="B319">
        <v>68</v>
      </c>
      <c r="J319">
        <f t="shared" si="4"/>
        <v>0</v>
      </c>
    </row>
    <row r="320" spans="1:10" hidden="1">
      <c r="A320">
        <v>242</v>
      </c>
      <c r="B320">
        <v>68</v>
      </c>
      <c r="J320">
        <f t="shared" si="4"/>
        <v>0</v>
      </c>
    </row>
    <row r="321" spans="1:10" hidden="1">
      <c r="A321">
        <v>243</v>
      </c>
      <c r="B321">
        <v>68</v>
      </c>
      <c r="J321">
        <f t="shared" si="4"/>
        <v>0</v>
      </c>
    </row>
    <row r="322" spans="1:10" hidden="1">
      <c r="A322">
        <v>244</v>
      </c>
      <c r="B322">
        <v>68</v>
      </c>
      <c r="J322">
        <f t="shared" si="4"/>
        <v>0</v>
      </c>
    </row>
    <row r="323" spans="1:10" hidden="1">
      <c r="A323">
        <v>245</v>
      </c>
      <c r="B323">
        <v>68</v>
      </c>
      <c r="J323">
        <f t="shared" ref="J323:J386" si="5">SUM(C323:I323)</f>
        <v>0</v>
      </c>
    </row>
    <row r="324" spans="1:10" hidden="1">
      <c r="A324">
        <v>246</v>
      </c>
      <c r="B324">
        <v>68</v>
      </c>
      <c r="J324">
        <f t="shared" si="5"/>
        <v>0</v>
      </c>
    </row>
    <row r="325" spans="1:10" hidden="1">
      <c r="A325">
        <v>247</v>
      </c>
      <c r="B325">
        <v>68</v>
      </c>
      <c r="J325">
        <f t="shared" si="5"/>
        <v>0</v>
      </c>
    </row>
    <row r="326" spans="1:10" hidden="1">
      <c r="A326">
        <v>248</v>
      </c>
      <c r="B326">
        <v>68</v>
      </c>
      <c r="J326">
        <f t="shared" si="5"/>
        <v>0</v>
      </c>
    </row>
    <row r="327" spans="1:10" hidden="1">
      <c r="A327">
        <v>249</v>
      </c>
      <c r="B327">
        <v>68</v>
      </c>
      <c r="J327">
        <f t="shared" si="5"/>
        <v>0</v>
      </c>
    </row>
    <row r="328" spans="1:10" hidden="1">
      <c r="A328">
        <v>250</v>
      </c>
      <c r="B328">
        <v>68</v>
      </c>
      <c r="D328">
        <v>1</v>
      </c>
      <c r="F328">
        <v>1</v>
      </c>
      <c r="G328">
        <v>1</v>
      </c>
      <c r="I328">
        <v>1</v>
      </c>
      <c r="J328">
        <f t="shared" si="5"/>
        <v>4</v>
      </c>
    </row>
    <row r="329" spans="1:10" hidden="1">
      <c r="A329">
        <v>251</v>
      </c>
      <c r="B329">
        <v>68</v>
      </c>
      <c r="D329">
        <v>1</v>
      </c>
      <c r="E329">
        <v>1</v>
      </c>
      <c r="F329">
        <v>1</v>
      </c>
      <c r="H329">
        <v>1</v>
      </c>
      <c r="J329">
        <f t="shared" si="5"/>
        <v>4</v>
      </c>
    </row>
    <row r="330" spans="1:10" hidden="1">
      <c r="A330">
        <v>252</v>
      </c>
      <c r="B330">
        <v>68</v>
      </c>
      <c r="F330">
        <v>1</v>
      </c>
      <c r="G330">
        <v>1</v>
      </c>
      <c r="H330">
        <v>1</v>
      </c>
      <c r="I330">
        <v>1</v>
      </c>
      <c r="J330">
        <f t="shared" si="5"/>
        <v>4</v>
      </c>
    </row>
    <row r="331" spans="1:10" hidden="1">
      <c r="A331">
        <v>253</v>
      </c>
      <c r="B331">
        <v>68</v>
      </c>
      <c r="C331">
        <v>1</v>
      </c>
      <c r="D331">
        <v>1</v>
      </c>
      <c r="E331">
        <v>1</v>
      </c>
      <c r="G331">
        <v>1</v>
      </c>
      <c r="J331">
        <f t="shared" si="5"/>
        <v>4</v>
      </c>
    </row>
    <row r="332" spans="1:10" hidden="1">
      <c r="A332">
        <v>254</v>
      </c>
      <c r="B332">
        <v>68</v>
      </c>
      <c r="C332">
        <v>1</v>
      </c>
      <c r="D332">
        <v>1</v>
      </c>
      <c r="E332">
        <v>1</v>
      </c>
      <c r="G332">
        <v>1</v>
      </c>
      <c r="J332">
        <f t="shared" si="5"/>
        <v>4</v>
      </c>
    </row>
    <row r="333" spans="1:10" hidden="1">
      <c r="A333">
        <v>255</v>
      </c>
      <c r="B333">
        <v>68</v>
      </c>
      <c r="F333">
        <v>2</v>
      </c>
      <c r="H333">
        <v>1</v>
      </c>
      <c r="I333">
        <v>1</v>
      </c>
      <c r="J333">
        <f t="shared" si="5"/>
        <v>4</v>
      </c>
    </row>
    <row r="334" spans="1:10" hidden="1">
      <c r="A334">
        <v>256</v>
      </c>
      <c r="B334">
        <v>68</v>
      </c>
      <c r="C334">
        <v>1</v>
      </c>
      <c r="D334">
        <v>1</v>
      </c>
      <c r="E334">
        <v>1</v>
      </c>
      <c r="G334">
        <v>1</v>
      </c>
      <c r="J334">
        <f t="shared" si="5"/>
        <v>4</v>
      </c>
    </row>
    <row r="335" spans="1:10" hidden="1">
      <c r="A335">
        <v>257</v>
      </c>
      <c r="B335">
        <v>68</v>
      </c>
      <c r="D335">
        <v>2</v>
      </c>
      <c r="E335">
        <v>1</v>
      </c>
      <c r="G335">
        <v>1</v>
      </c>
      <c r="J335">
        <f t="shared" si="5"/>
        <v>4</v>
      </c>
    </row>
    <row r="336" spans="1:10" hidden="1">
      <c r="A336">
        <v>258</v>
      </c>
      <c r="B336">
        <v>68</v>
      </c>
      <c r="C336">
        <v>1</v>
      </c>
      <c r="F336">
        <v>1</v>
      </c>
      <c r="G336">
        <v>1</v>
      </c>
      <c r="H336">
        <v>1</v>
      </c>
      <c r="J336">
        <f t="shared" si="5"/>
        <v>4</v>
      </c>
    </row>
    <row r="337" spans="1:10" hidden="1">
      <c r="A337">
        <v>259</v>
      </c>
      <c r="B337">
        <v>68</v>
      </c>
      <c r="J337">
        <f t="shared" si="5"/>
        <v>0</v>
      </c>
    </row>
    <row r="338" spans="1:10" hidden="1">
      <c r="A338">
        <v>260</v>
      </c>
      <c r="B338">
        <v>68</v>
      </c>
      <c r="D338">
        <v>1</v>
      </c>
      <c r="F338">
        <v>1</v>
      </c>
      <c r="G338">
        <v>1</v>
      </c>
      <c r="I338">
        <v>1</v>
      </c>
      <c r="J338">
        <f t="shared" si="5"/>
        <v>4</v>
      </c>
    </row>
    <row r="339" spans="1:10" hidden="1">
      <c r="A339">
        <v>261</v>
      </c>
      <c r="B339">
        <v>68</v>
      </c>
      <c r="G339">
        <v>2</v>
      </c>
      <c r="H339">
        <v>1</v>
      </c>
      <c r="I339">
        <v>1</v>
      </c>
      <c r="J339">
        <f t="shared" si="5"/>
        <v>4</v>
      </c>
    </row>
    <row r="340" spans="1:10" hidden="1">
      <c r="A340">
        <v>262</v>
      </c>
      <c r="B340">
        <v>68</v>
      </c>
      <c r="C340">
        <v>1</v>
      </c>
      <c r="D340">
        <v>1</v>
      </c>
      <c r="G340">
        <v>1</v>
      </c>
      <c r="H340">
        <v>1</v>
      </c>
      <c r="J340">
        <f t="shared" si="5"/>
        <v>4</v>
      </c>
    </row>
    <row r="341" spans="1:10" hidden="1">
      <c r="A341">
        <v>263</v>
      </c>
      <c r="B341">
        <v>68</v>
      </c>
      <c r="C341">
        <v>1</v>
      </c>
      <c r="H341">
        <v>2</v>
      </c>
      <c r="I341">
        <v>1</v>
      </c>
      <c r="J341">
        <f t="shared" si="5"/>
        <v>4</v>
      </c>
    </row>
    <row r="342" spans="1:10" hidden="1">
      <c r="A342">
        <v>264</v>
      </c>
      <c r="B342">
        <v>68</v>
      </c>
      <c r="J342">
        <f t="shared" si="5"/>
        <v>0</v>
      </c>
    </row>
    <row r="343" spans="1:10" hidden="1">
      <c r="A343">
        <v>265</v>
      </c>
      <c r="B343">
        <v>68</v>
      </c>
      <c r="E343">
        <v>1</v>
      </c>
      <c r="H343">
        <v>2</v>
      </c>
      <c r="I343">
        <v>1</v>
      </c>
      <c r="J343">
        <f t="shared" si="5"/>
        <v>4</v>
      </c>
    </row>
    <row r="344" spans="1:10" hidden="1">
      <c r="A344">
        <v>266</v>
      </c>
      <c r="B344">
        <v>68</v>
      </c>
      <c r="C344">
        <v>1</v>
      </c>
      <c r="F344">
        <v>1</v>
      </c>
      <c r="G344">
        <v>1</v>
      </c>
      <c r="H344">
        <v>1</v>
      </c>
      <c r="J344">
        <f t="shared" si="5"/>
        <v>4</v>
      </c>
    </row>
    <row r="345" spans="1:10" hidden="1">
      <c r="A345">
        <v>267</v>
      </c>
      <c r="B345">
        <v>68</v>
      </c>
      <c r="C345">
        <v>1</v>
      </c>
      <c r="D345">
        <v>1</v>
      </c>
      <c r="E345">
        <v>1</v>
      </c>
      <c r="H345">
        <v>1</v>
      </c>
      <c r="J345">
        <f t="shared" si="5"/>
        <v>4</v>
      </c>
    </row>
    <row r="346" spans="1:10" hidden="1">
      <c r="A346">
        <v>268</v>
      </c>
      <c r="B346">
        <v>68</v>
      </c>
      <c r="E346">
        <v>1</v>
      </c>
      <c r="F346">
        <v>1</v>
      </c>
      <c r="G346">
        <v>1</v>
      </c>
      <c r="I346">
        <v>1</v>
      </c>
      <c r="J346">
        <f t="shared" si="5"/>
        <v>4</v>
      </c>
    </row>
    <row r="347" spans="1:10" hidden="1">
      <c r="A347">
        <v>269</v>
      </c>
      <c r="B347">
        <v>68</v>
      </c>
      <c r="J347">
        <f t="shared" si="5"/>
        <v>0</v>
      </c>
    </row>
    <row r="348" spans="1:10" hidden="1">
      <c r="A348">
        <v>270</v>
      </c>
      <c r="B348">
        <v>68</v>
      </c>
      <c r="J348">
        <f t="shared" si="5"/>
        <v>0</v>
      </c>
    </row>
    <row r="349" spans="1:10" hidden="1">
      <c r="A349">
        <v>271</v>
      </c>
      <c r="B349">
        <v>68</v>
      </c>
      <c r="J349">
        <f t="shared" si="5"/>
        <v>0</v>
      </c>
    </row>
    <row r="350" spans="1:10" hidden="1">
      <c r="A350">
        <v>272</v>
      </c>
      <c r="B350">
        <v>68</v>
      </c>
      <c r="J350">
        <f t="shared" si="5"/>
        <v>0</v>
      </c>
    </row>
    <row r="351" spans="1:10" hidden="1">
      <c r="A351">
        <v>273</v>
      </c>
      <c r="B351">
        <v>68</v>
      </c>
      <c r="J351">
        <f t="shared" si="5"/>
        <v>0</v>
      </c>
    </row>
    <row r="352" spans="1:10" hidden="1">
      <c r="A352">
        <v>274</v>
      </c>
      <c r="B352">
        <v>68</v>
      </c>
      <c r="J352">
        <f t="shared" si="5"/>
        <v>0</v>
      </c>
    </row>
    <row r="353" spans="1:10" hidden="1">
      <c r="A353">
        <v>275</v>
      </c>
      <c r="B353">
        <v>68</v>
      </c>
      <c r="J353">
        <f t="shared" si="5"/>
        <v>0</v>
      </c>
    </row>
    <row r="354" spans="1:10" hidden="1">
      <c r="A354">
        <v>276</v>
      </c>
      <c r="B354">
        <v>68</v>
      </c>
      <c r="J354">
        <f t="shared" si="5"/>
        <v>0</v>
      </c>
    </row>
    <row r="355" spans="1:10" hidden="1">
      <c r="A355">
        <v>277</v>
      </c>
      <c r="B355">
        <v>68</v>
      </c>
      <c r="J355">
        <f t="shared" si="5"/>
        <v>0</v>
      </c>
    </row>
    <row r="356" spans="1:10" hidden="1">
      <c r="A356">
        <v>278</v>
      </c>
      <c r="B356">
        <v>68</v>
      </c>
      <c r="J356">
        <f t="shared" si="5"/>
        <v>0</v>
      </c>
    </row>
    <row r="357" spans="1:10" hidden="1">
      <c r="A357">
        <v>279</v>
      </c>
      <c r="B357">
        <v>68</v>
      </c>
      <c r="J357">
        <f t="shared" si="5"/>
        <v>0</v>
      </c>
    </row>
    <row r="358" spans="1:10" hidden="1">
      <c r="A358">
        <v>280</v>
      </c>
      <c r="B358">
        <v>68</v>
      </c>
      <c r="J358">
        <f t="shared" si="5"/>
        <v>0</v>
      </c>
    </row>
    <row r="359" spans="1:10" hidden="1">
      <c r="A359">
        <v>281</v>
      </c>
      <c r="B359">
        <v>68</v>
      </c>
      <c r="J359">
        <f t="shared" si="5"/>
        <v>0</v>
      </c>
    </row>
    <row r="360" spans="1:10" hidden="1">
      <c r="A360">
        <v>282</v>
      </c>
      <c r="B360">
        <v>68</v>
      </c>
      <c r="J360">
        <f t="shared" si="5"/>
        <v>0</v>
      </c>
    </row>
    <row r="361" spans="1:10" hidden="1">
      <c r="A361">
        <v>283</v>
      </c>
      <c r="B361">
        <v>68</v>
      </c>
      <c r="J361">
        <f t="shared" si="5"/>
        <v>0</v>
      </c>
    </row>
    <row r="362" spans="1:10" hidden="1">
      <c r="A362">
        <v>239</v>
      </c>
      <c r="B362">
        <v>67</v>
      </c>
      <c r="J362">
        <f t="shared" si="5"/>
        <v>0</v>
      </c>
    </row>
    <row r="363" spans="1:10" hidden="1">
      <c r="A363">
        <v>240</v>
      </c>
      <c r="B363">
        <v>67</v>
      </c>
      <c r="J363">
        <f t="shared" si="5"/>
        <v>0</v>
      </c>
    </row>
    <row r="364" spans="1:10" hidden="1">
      <c r="A364">
        <v>241</v>
      </c>
      <c r="B364">
        <v>67</v>
      </c>
      <c r="J364">
        <f t="shared" si="5"/>
        <v>0</v>
      </c>
    </row>
    <row r="365" spans="1:10" hidden="1">
      <c r="A365">
        <v>242</v>
      </c>
      <c r="B365">
        <v>67</v>
      </c>
      <c r="J365">
        <f t="shared" si="5"/>
        <v>0</v>
      </c>
    </row>
    <row r="366" spans="1:10" hidden="1">
      <c r="A366">
        <v>243</v>
      </c>
      <c r="B366">
        <v>67</v>
      </c>
      <c r="C366">
        <v>1</v>
      </c>
      <c r="E366">
        <v>1</v>
      </c>
      <c r="H366">
        <v>1</v>
      </c>
      <c r="I366">
        <v>1</v>
      </c>
      <c r="J366">
        <f t="shared" si="5"/>
        <v>4</v>
      </c>
    </row>
    <row r="367" spans="1:10" hidden="1">
      <c r="A367">
        <v>244</v>
      </c>
      <c r="B367">
        <v>67</v>
      </c>
      <c r="J367">
        <f t="shared" si="5"/>
        <v>0</v>
      </c>
    </row>
    <row r="368" spans="1:10" hidden="1">
      <c r="A368">
        <v>245</v>
      </c>
      <c r="B368">
        <v>67</v>
      </c>
      <c r="J368">
        <f t="shared" si="5"/>
        <v>0</v>
      </c>
    </row>
    <row r="369" spans="1:10" hidden="1">
      <c r="A369">
        <v>246</v>
      </c>
      <c r="B369">
        <v>67</v>
      </c>
      <c r="J369">
        <f t="shared" si="5"/>
        <v>0</v>
      </c>
    </row>
    <row r="370" spans="1:10" hidden="1">
      <c r="A370">
        <v>247</v>
      </c>
      <c r="B370">
        <v>67</v>
      </c>
      <c r="J370">
        <f t="shared" si="5"/>
        <v>0</v>
      </c>
    </row>
    <row r="371" spans="1:10" hidden="1">
      <c r="A371">
        <v>248</v>
      </c>
      <c r="B371">
        <v>67</v>
      </c>
      <c r="J371">
        <f t="shared" si="5"/>
        <v>0</v>
      </c>
    </row>
    <row r="372" spans="1:10" hidden="1">
      <c r="A372">
        <v>249</v>
      </c>
      <c r="B372">
        <v>67</v>
      </c>
      <c r="J372">
        <f t="shared" si="5"/>
        <v>0</v>
      </c>
    </row>
    <row r="373" spans="1:10" hidden="1">
      <c r="A373">
        <v>250</v>
      </c>
      <c r="B373">
        <v>67</v>
      </c>
      <c r="D373">
        <v>1</v>
      </c>
      <c r="E373">
        <v>1</v>
      </c>
      <c r="G373">
        <v>1</v>
      </c>
      <c r="H373">
        <v>1</v>
      </c>
      <c r="J373">
        <f t="shared" si="5"/>
        <v>4</v>
      </c>
    </row>
    <row r="374" spans="1:10" hidden="1">
      <c r="A374">
        <v>251</v>
      </c>
      <c r="B374">
        <v>67</v>
      </c>
      <c r="J374">
        <f t="shared" si="5"/>
        <v>0</v>
      </c>
    </row>
    <row r="375" spans="1:10" hidden="1">
      <c r="A375">
        <v>252</v>
      </c>
      <c r="B375">
        <v>67</v>
      </c>
      <c r="C375">
        <v>1</v>
      </c>
      <c r="E375">
        <v>2</v>
      </c>
      <c r="H375">
        <v>1</v>
      </c>
      <c r="J375">
        <f t="shared" si="5"/>
        <v>4</v>
      </c>
    </row>
    <row r="376" spans="1:10" hidden="1">
      <c r="A376">
        <v>253</v>
      </c>
      <c r="B376">
        <v>67</v>
      </c>
      <c r="C376">
        <v>1</v>
      </c>
      <c r="F376">
        <v>1</v>
      </c>
      <c r="G376">
        <v>2</v>
      </c>
      <c r="J376">
        <f t="shared" si="5"/>
        <v>4</v>
      </c>
    </row>
    <row r="377" spans="1:10" hidden="1">
      <c r="A377">
        <v>254</v>
      </c>
      <c r="B377">
        <v>67</v>
      </c>
      <c r="C377">
        <v>1</v>
      </c>
      <c r="F377">
        <v>1</v>
      </c>
      <c r="G377">
        <v>1</v>
      </c>
      <c r="H377">
        <v>1</v>
      </c>
      <c r="J377">
        <f t="shared" si="5"/>
        <v>4</v>
      </c>
    </row>
    <row r="378" spans="1:10" hidden="1">
      <c r="A378">
        <v>255</v>
      </c>
      <c r="B378">
        <v>67</v>
      </c>
      <c r="D378">
        <v>2</v>
      </c>
      <c r="F378">
        <v>1</v>
      </c>
      <c r="I378">
        <v>1</v>
      </c>
      <c r="J378">
        <f t="shared" si="5"/>
        <v>4</v>
      </c>
    </row>
    <row r="379" spans="1:10" hidden="1">
      <c r="A379">
        <v>256</v>
      </c>
      <c r="B379">
        <v>67</v>
      </c>
      <c r="J379">
        <f t="shared" si="5"/>
        <v>0</v>
      </c>
    </row>
    <row r="380" spans="1:10" hidden="1">
      <c r="A380">
        <v>257</v>
      </c>
      <c r="B380">
        <v>67</v>
      </c>
      <c r="D380">
        <v>1</v>
      </c>
      <c r="F380">
        <v>1</v>
      </c>
      <c r="G380">
        <v>1</v>
      </c>
      <c r="H380">
        <v>1</v>
      </c>
      <c r="J380">
        <f t="shared" si="5"/>
        <v>4</v>
      </c>
    </row>
    <row r="381" spans="1:10" hidden="1">
      <c r="A381">
        <v>258</v>
      </c>
      <c r="B381">
        <v>67</v>
      </c>
      <c r="C381">
        <v>1</v>
      </c>
      <c r="E381">
        <v>2</v>
      </c>
      <c r="F381">
        <v>1</v>
      </c>
      <c r="J381">
        <f t="shared" si="5"/>
        <v>4</v>
      </c>
    </row>
    <row r="382" spans="1:10" hidden="1">
      <c r="A382">
        <v>259</v>
      </c>
      <c r="B382">
        <v>67</v>
      </c>
      <c r="C382">
        <v>1</v>
      </c>
      <c r="F382">
        <v>1</v>
      </c>
      <c r="H382">
        <v>2</v>
      </c>
      <c r="J382">
        <f t="shared" si="5"/>
        <v>4</v>
      </c>
    </row>
    <row r="383" spans="1:10" hidden="1">
      <c r="A383">
        <v>260</v>
      </c>
      <c r="B383">
        <v>67</v>
      </c>
      <c r="J383">
        <f t="shared" si="5"/>
        <v>0</v>
      </c>
    </row>
    <row r="384" spans="1:10" hidden="1">
      <c r="A384">
        <v>261</v>
      </c>
      <c r="B384">
        <v>67</v>
      </c>
      <c r="D384">
        <v>2</v>
      </c>
      <c r="G384">
        <v>1</v>
      </c>
      <c r="H384">
        <v>1</v>
      </c>
      <c r="J384">
        <f t="shared" si="5"/>
        <v>4</v>
      </c>
    </row>
    <row r="385" spans="1:10" hidden="1">
      <c r="A385">
        <v>262</v>
      </c>
      <c r="B385">
        <v>67</v>
      </c>
      <c r="D385">
        <v>1</v>
      </c>
      <c r="E385">
        <v>1</v>
      </c>
      <c r="G385">
        <v>1</v>
      </c>
      <c r="I385">
        <v>1</v>
      </c>
      <c r="J385">
        <f t="shared" si="5"/>
        <v>4</v>
      </c>
    </row>
    <row r="386" spans="1:10" hidden="1">
      <c r="A386">
        <v>263</v>
      </c>
      <c r="B386">
        <v>67</v>
      </c>
      <c r="D386">
        <v>1</v>
      </c>
      <c r="E386">
        <v>1</v>
      </c>
      <c r="H386">
        <v>1</v>
      </c>
      <c r="I386">
        <v>1</v>
      </c>
      <c r="J386">
        <f t="shared" si="5"/>
        <v>4</v>
      </c>
    </row>
    <row r="387" spans="1:10" hidden="1">
      <c r="A387">
        <v>264</v>
      </c>
      <c r="B387">
        <v>67</v>
      </c>
      <c r="D387">
        <v>1</v>
      </c>
      <c r="F387">
        <v>2</v>
      </c>
      <c r="G387">
        <v>1</v>
      </c>
      <c r="J387">
        <f t="shared" ref="J387:J450" si="6">SUM(C387:I387)</f>
        <v>4</v>
      </c>
    </row>
    <row r="388" spans="1:10" hidden="1">
      <c r="A388">
        <v>265</v>
      </c>
      <c r="B388">
        <v>67</v>
      </c>
      <c r="D388">
        <v>1</v>
      </c>
      <c r="F388">
        <v>1</v>
      </c>
      <c r="G388">
        <v>1</v>
      </c>
      <c r="H388">
        <v>1</v>
      </c>
      <c r="J388">
        <f t="shared" si="6"/>
        <v>4</v>
      </c>
    </row>
    <row r="389" spans="1:10" hidden="1">
      <c r="A389">
        <v>266</v>
      </c>
      <c r="B389">
        <v>67</v>
      </c>
      <c r="D389">
        <v>1</v>
      </c>
      <c r="G389">
        <v>1</v>
      </c>
      <c r="H389">
        <v>1</v>
      </c>
      <c r="I389">
        <v>1</v>
      </c>
      <c r="J389">
        <f t="shared" si="6"/>
        <v>4</v>
      </c>
    </row>
    <row r="390" spans="1:10" hidden="1">
      <c r="A390">
        <v>267</v>
      </c>
      <c r="B390">
        <v>67</v>
      </c>
      <c r="J390">
        <f t="shared" si="6"/>
        <v>0</v>
      </c>
    </row>
    <row r="391" spans="1:10" hidden="1">
      <c r="A391">
        <v>268</v>
      </c>
      <c r="B391">
        <v>67</v>
      </c>
      <c r="J391">
        <f t="shared" si="6"/>
        <v>0</v>
      </c>
    </row>
    <row r="392" spans="1:10" hidden="1">
      <c r="A392">
        <v>269</v>
      </c>
      <c r="B392">
        <v>67</v>
      </c>
      <c r="J392">
        <f t="shared" si="6"/>
        <v>0</v>
      </c>
    </row>
    <row r="393" spans="1:10" hidden="1">
      <c r="A393">
        <v>270</v>
      </c>
      <c r="B393">
        <v>67</v>
      </c>
      <c r="J393">
        <f t="shared" si="6"/>
        <v>0</v>
      </c>
    </row>
    <row r="394" spans="1:10" hidden="1">
      <c r="A394">
        <v>271</v>
      </c>
      <c r="B394">
        <v>67</v>
      </c>
      <c r="J394">
        <f t="shared" si="6"/>
        <v>0</v>
      </c>
    </row>
    <row r="395" spans="1:10" hidden="1">
      <c r="A395">
        <v>272</v>
      </c>
      <c r="B395">
        <v>67</v>
      </c>
      <c r="E395">
        <v>1</v>
      </c>
      <c r="H395">
        <v>2</v>
      </c>
      <c r="I395">
        <v>1</v>
      </c>
      <c r="J395">
        <f t="shared" si="6"/>
        <v>4</v>
      </c>
    </row>
    <row r="396" spans="1:10" hidden="1">
      <c r="A396">
        <v>273</v>
      </c>
      <c r="B396">
        <v>67</v>
      </c>
      <c r="C396">
        <v>1</v>
      </c>
      <c r="D396">
        <v>1</v>
      </c>
      <c r="E396">
        <v>1</v>
      </c>
      <c r="G396">
        <v>1</v>
      </c>
      <c r="J396">
        <f t="shared" si="6"/>
        <v>4</v>
      </c>
    </row>
    <row r="397" spans="1:10" hidden="1">
      <c r="A397">
        <v>274</v>
      </c>
      <c r="B397">
        <v>67</v>
      </c>
      <c r="D397">
        <v>1</v>
      </c>
      <c r="E397">
        <v>1</v>
      </c>
      <c r="F397">
        <v>1</v>
      </c>
      <c r="G397">
        <v>1</v>
      </c>
      <c r="J397">
        <f t="shared" si="6"/>
        <v>4</v>
      </c>
    </row>
    <row r="398" spans="1:10" hidden="1">
      <c r="A398">
        <v>275</v>
      </c>
      <c r="B398">
        <v>67</v>
      </c>
      <c r="J398">
        <f t="shared" si="6"/>
        <v>0</v>
      </c>
    </row>
    <row r="399" spans="1:10" hidden="1">
      <c r="A399">
        <v>276</v>
      </c>
      <c r="B399">
        <v>67</v>
      </c>
      <c r="J399">
        <f t="shared" si="6"/>
        <v>0</v>
      </c>
    </row>
    <row r="400" spans="1:10" hidden="1">
      <c r="A400">
        <v>277</v>
      </c>
      <c r="B400">
        <v>67</v>
      </c>
      <c r="J400">
        <f t="shared" si="6"/>
        <v>0</v>
      </c>
    </row>
    <row r="401" spans="1:10" hidden="1">
      <c r="A401">
        <v>278</v>
      </c>
      <c r="B401">
        <v>67</v>
      </c>
      <c r="J401">
        <f t="shared" si="6"/>
        <v>0</v>
      </c>
    </row>
    <row r="402" spans="1:10" hidden="1">
      <c r="A402">
        <v>279</v>
      </c>
      <c r="B402">
        <v>67</v>
      </c>
      <c r="J402">
        <f t="shared" si="6"/>
        <v>0</v>
      </c>
    </row>
    <row r="403" spans="1:10" hidden="1">
      <c r="A403">
        <v>280</v>
      </c>
      <c r="B403">
        <v>67</v>
      </c>
      <c r="J403">
        <f t="shared" si="6"/>
        <v>0</v>
      </c>
    </row>
    <row r="404" spans="1:10" hidden="1">
      <c r="A404">
        <v>281</v>
      </c>
      <c r="B404">
        <v>67</v>
      </c>
      <c r="J404">
        <f t="shared" si="6"/>
        <v>0</v>
      </c>
    </row>
    <row r="405" spans="1:10" hidden="1">
      <c r="A405">
        <v>282</v>
      </c>
      <c r="B405">
        <v>67</v>
      </c>
      <c r="J405">
        <f t="shared" si="6"/>
        <v>0</v>
      </c>
    </row>
    <row r="406" spans="1:10" hidden="1">
      <c r="A406">
        <v>283</v>
      </c>
      <c r="B406">
        <v>67</v>
      </c>
      <c r="J406">
        <f t="shared" si="6"/>
        <v>0</v>
      </c>
    </row>
    <row r="407" spans="1:10" hidden="1">
      <c r="A407">
        <v>239</v>
      </c>
      <c r="B407">
        <v>66</v>
      </c>
      <c r="J407">
        <f t="shared" si="6"/>
        <v>0</v>
      </c>
    </row>
    <row r="408" spans="1:10" hidden="1">
      <c r="A408">
        <v>240</v>
      </c>
      <c r="B408">
        <v>66</v>
      </c>
      <c r="J408">
        <f t="shared" si="6"/>
        <v>0</v>
      </c>
    </row>
    <row r="409" spans="1:10" hidden="1">
      <c r="A409">
        <v>241</v>
      </c>
      <c r="B409">
        <v>66</v>
      </c>
      <c r="J409">
        <f t="shared" si="6"/>
        <v>0</v>
      </c>
    </row>
    <row r="410" spans="1:10" hidden="1">
      <c r="A410">
        <v>242</v>
      </c>
      <c r="B410">
        <v>66</v>
      </c>
      <c r="J410">
        <f t="shared" si="6"/>
        <v>0</v>
      </c>
    </row>
    <row r="411" spans="1:10" hidden="1">
      <c r="A411">
        <v>243</v>
      </c>
      <c r="B411">
        <v>66</v>
      </c>
      <c r="C411">
        <v>1</v>
      </c>
      <c r="F411">
        <v>2</v>
      </c>
      <c r="H411">
        <v>1</v>
      </c>
      <c r="J411">
        <f t="shared" si="6"/>
        <v>4</v>
      </c>
    </row>
    <row r="412" spans="1:10" hidden="1">
      <c r="A412">
        <v>244</v>
      </c>
      <c r="B412">
        <v>66</v>
      </c>
      <c r="E412">
        <v>1</v>
      </c>
      <c r="F412">
        <v>1</v>
      </c>
      <c r="G412">
        <v>1</v>
      </c>
      <c r="I412">
        <v>1</v>
      </c>
      <c r="J412">
        <f t="shared" si="6"/>
        <v>4</v>
      </c>
    </row>
    <row r="413" spans="1:10" hidden="1">
      <c r="A413">
        <v>245</v>
      </c>
      <c r="B413">
        <v>66</v>
      </c>
      <c r="E413">
        <v>1</v>
      </c>
      <c r="F413">
        <v>1</v>
      </c>
      <c r="H413">
        <v>1</v>
      </c>
      <c r="I413">
        <v>1</v>
      </c>
      <c r="J413">
        <f t="shared" si="6"/>
        <v>4</v>
      </c>
    </row>
    <row r="414" spans="1:10" hidden="1">
      <c r="A414">
        <v>246</v>
      </c>
      <c r="B414">
        <v>66</v>
      </c>
      <c r="J414">
        <f t="shared" si="6"/>
        <v>0</v>
      </c>
    </row>
    <row r="415" spans="1:10" hidden="1">
      <c r="A415">
        <v>247</v>
      </c>
      <c r="B415">
        <v>66</v>
      </c>
      <c r="J415">
        <f t="shared" si="6"/>
        <v>0</v>
      </c>
    </row>
    <row r="416" spans="1:10" hidden="1">
      <c r="A416">
        <v>248</v>
      </c>
      <c r="B416">
        <v>66</v>
      </c>
      <c r="J416">
        <f t="shared" si="6"/>
        <v>0</v>
      </c>
    </row>
    <row r="417" spans="1:10" hidden="1">
      <c r="A417">
        <v>249</v>
      </c>
      <c r="B417">
        <v>66</v>
      </c>
      <c r="J417">
        <f t="shared" si="6"/>
        <v>0</v>
      </c>
    </row>
    <row r="418" spans="1:10" hidden="1">
      <c r="A418">
        <v>250</v>
      </c>
      <c r="B418">
        <v>66</v>
      </c>
      <c r="D418">
        <v>1</v>
      </c>
      <c r="F418">
        <v>1</v>
      </c>
      <c r="G418">
        <v>1</v>
      </c>
      <c r="H418">
        <v>1</v>
      </c>
      <c r="J418">
        <f t="shared" si="6"/>
        <v>4</v>
      </c>
    </row>
    <row r="419" spans="1:10" hidden="1">
      <c r="A419">
        <v>251</v>
      </c>
      <c r="B419">
        <v>66</v>
      </c>
      <c r="J419">
        <f t="shared" si="6"/>
        <v>0</v>
      </c>
    </row>
    <row r="420" spans="1:10" hidden="1">
      <c r="A420">
        <v>252</v>
      </c>
      <c r="B420">
        <v>66</v>
      </c>
      <c r="D420">
        <v>2</v>
      </c>
      <c r="G420">
        <v>1</v>
      </c>
      <c r="I420">
        <v>1</v>
      </c>
      <c r="J420">
        <f t="shared" si="6"/>
        <v>4</v>
      </c>
    </row>
    <row r="421" spans="1:10" hidden="1">
      <c r="A421">
        <v>253</v>
      </c>
      <c r="B421">
        <v>66</v>
      </c>
      <c r="J421">
        <f t="shared" si="6"/>
        <v>0</v>
      </c>
    </row>
    <row r="422" spans="1:10" hidden="1">
      <c r="A422">
        <v>254</v>
      </c>
      <c r="B422">
        <v>66</v>
      </c>
      <c r="D422">
        <v>1</v>
      </c>
      <c r="E422">
        <v>1</v>
      </c>
      <c r="G422">
        <v>1</v>
      </c>
      <c r="I422">
        <v>1</v>
      </c>
      <c r="J422">
        <f t="shared" si="6"/>
        <v>4</v>
      </c>
    </row>
    <row r="423" spans="1:10" hidden="1">
      <c r="A423">
        <v>255</v>
      </c>
      <c r="B423">
        <v>66</v>
      </c>
      <c r="E423">
        <v>1</v>
      </c>
      <c r="F423">
        <v>1</v>
      </c>
      <c r="G423">
        <v>1</v>
      </c>
      <c r="I423">
        <v>1</v>
      </c>
      <c r="J423">
        <f t="shared" si="6"/>
        <v>4</v>
      </c>
    </row>
    <row r="424" spans="1:10" hidden="1">
      <c r="A424">
        <v>256</v>
      </c>
      <c r="B424">
        <v>66</v>
      </c>
      <c r="C424">
        <v>1</v>
      </c>
      <c r="D424">
        <v>2</v>
      </c>
      <c r="H424">
        <v>1</v>
      </c>
      <c r="J424">
        <f t="shared" si="6"/>
        <v>4</v>
      </c>
    </row>
    <row r="425" spans="1:10" hidden="1">
      <c r="A425">
        <v>257</v>
      </c>
      <c r="B425">
        <v>66</v>
      </c>
      <c r="C425">
        <v>1</v>
      </c>
      <c r="D425">
        <v>2</v>
      </c>
      <c r="H425">
        <v>1</v>
      </c>
      <c r="J425">
        <f t="shared" si="6"/>
        <v>4</v>
      </c>
    </row>
    <row r="426" spans="1:10" hidden="1">
      <c r="A426">
        <v>258</v>
      </c>
      <c r="B426">
        <v>66</v>
      </c>
      <c r="E426">
        <v>2</v>
      </c>
      <c r="F426">
        <v>1</v>
      </c>
      <c r="H426">
        <v>1</v>
      </c>
      <c r="J426">
        <f t="shared" si="6"/>
        <v>4</v>
      </c>
    </row>
    <row r="427" spans="1:10" hidden="1">
      <c r="A427">
        <v>259</v>
      </c>
      <c r="B427">
        <v>66</v>
      </c>
      <c r="F427">
        <v>1</v>
      </c>
      <c r="G427">
        <v>2</v>
      </c>
      <c r="H427">
        <v>1</v>
      </c>
      <c r="J427">
        <f t="shared" si="6"/>
        <v>4</v>
      </c>
    </row>
    <row r="428" spans="1:10" hidden="1">
      <c r="A428">
        <v>260</v>
      </c>
      <c r="B428">
        <v>66</v>
      </c>
      <c r="E428">
        <v>1</v>
      </c>
      <c r="H428">
        <v>2</v>
      </c>
      <c r="I428">
        <v>1</v>
      </c>
      <c r="J428">
        <f t="shared" si="6"/>
        <v>4</v>
      </c>
    </row>
    <row r="429" spans="1:10" hidden="1">
      <c r="A429">
        <v>261</v>
      </c>
      <c r="B429">
        <v>66</v>
      </c>
      <c r="J429">
        <f t="shared" si="6"/>
        <v>0</v>
      </c>
    </row>
    <row r="430" spans="1:10" hidden="1">
      <c r="A430">
        <v>262</v>
      </c>
      <c r="B430">
        <v>66</v>
      </c>
      <c r="E430">
        <v>1</v>
      </c>
      <c r="F430">
        <v>1</v>
      </c>
      <c r="G430">
        <v>1</v>
      </c>
      <c r="H430">
        <v>1</v>
      </c>
      <c r="J430">
        <f t="shared" si="6"/>
        <v>4</v>
      </c>
    </row>
    <row r="431" spans="1:10" hidden="1">
      <c r="A431">
        <v>263</v>
      </c>
      <c r="B431">
        <v>66</v>
      </c>
      <c r="C431">
        <v>1</v>
      </c>
      <c r="D431">
        <v>1</v>
      </c>
      <c r="E431">
        <v>1</v>
      </c>
      <c r="F431">
        <v>1</v>
      </c>
      <c r="J431">
        <f t="shared" si="6"/>
        <v>4</v>
      </c>
    </row>
    <row r="432" spans="1:10" hidden="1">
      <c r="A432">
        <v>264</v>
      </c>
      <c r="B432">
        <v>66</v>
      </c>
      <c r="J432">
        <f t="shared" si="6"/>
        <v>0</v>
      </c>
    </row>
    <row r="433" spans="1:10" hidden="1">
      <c r="A433">
        <v>265</v>
      </c>
      <c r="B433">
        <v>66</v>
      </c>
      <c r="E433">
        <v>2</v>
      </c>
      <c r="H433">
        <v>1</v>
      </c>
      <c r="I433">
        <v>1</v>
      </c>
      <c r="J433">
        <f t="shared" si="6"/>
        <v>4</v>
      </c>
    </row>
    <row r="434" spans="1:10" hidden="1">
      <c r="A434">
        <v>266</v>
      </c>
      <c r="B434">
        <v>66</v>
      </c>
      <c r="C434">
        <v>1</v>
      </c>
      <c r="D434">
        <v>1</v>
      </c>
      <c r="G434">
        <v>1</v>
      </c>
      <c r="H434">
        <v>1</v>
      </c>
      <c r="J434">
        <f t="shared" si="6"/>
        <v>4</v>
      </c>
    </row>
    <row r="435" spans="1:10" hidden="1">
      <c r="A435">
        <v>267</v>
      </c>
      <c r="B435">
        <v>66</v>
      </c>
      <c r="J435">
        <f t="shared" si="6"/>
        <v>0</v>
      </c>
    </row>
    <row r="436" spans="1:10" hidden="1">
      <c r="A436">
        <v>268</v>
      </c>
      <c r="B436">
        <v>66</v>
      </c>
      <c r="J436">
        <f t="shared" si="6"/>
        <v>0</v>
      </c>
    </row>
    <row r="437" spans="1:10" hidden="1">
      <c r="A437">
        <v>269</v>
      </c>
      <c r="B437">
        <v>66</v>
      </c>
      <c r="J437">
        <f t="shared" si="6"/>
        <v>0</v>
      </c>
    </row>
    <row r="438" spans="1:10" hidden="1">
      <c r="A438">
        <v>270</v>
      </c>
      <c r="B438">
        <v>66</v>
      </c>
      <c r="J438">
        <f t="shared" si="6"/>
        <v>0</v>
      </c>
    </row>
    <row r="439" spans="1:10" hidden="1">
      <c r="A439">
        <v>271</v>
      </c>
      <c r="B439">
        <v>66</v>
      </c>
      <c r="J439">
        <f t="shared" si="6"/>
        <v>0</v>
      </c>
    </row>
    <row r="440" spans="1:10" hidden="1">
      <c r="A440">
        <v>272</v>
      </c>
      <c r="B440">
        <v>66</v>
      </c>
      <c r="E440">
        <v>1</v>
      </c>
      <c r="H440">
        <v>1</v>
      </c>
      <c r="I440">
        <v>2</v>
      </c>
      <c r="J440">
        <f t="shared" si="6"/>
        <v>4</v>
      </c>
    </row>
    <row r="441" spans="1:10" hidden="1">
      <c r="A441">
        <v>273</v>
      </c>
      <c r="B441">
        <v>66</v>
      </c>
      <c r="D441">
        <v>1</v>
      </c>
      <c r="E441">
        <v>1</v>
      </c>
      <c r="F441">
        <v>1</v>
      </c>
      <c r="I441">
        <v>1</v>
      </c>
      <c r="J441">
        <f t="shared" si="6"/>
        <v>4</v>
      </c>
    </row>
    <row r="442" spans="1:10" hidden="1">
      <c r="A442">
        <v>274</v>
      </c>
      <c r="B442">
        <v>66</v>
      </c>
      <c r="J442">
        <f t="shared" si="6"/>
        <v>0</v>
      </c>
    </row>
    <row r="443" spans="1:10" hidden="1">
      <c r="A443">
        <v>275</v>
      </c>
      <c r="B443">
        <v>66</v>
      </c>
      <c r="C443">
        <v>1</v>
      </c>
      <c r="E443">
        <v>1</v>
      </c>
      <c r="F443">
        <v>1</v>
      </c>
      <c r="G443">
        <v>1</v>
      </c>
      <c r="J443">
        <f t="shared" si="6"/>
        <v>4</v>
      </c>
    </row>
    <row r="444" spans="1:10" hidden="1">
      <c r="A444">
        <v>276</v>
      </c>
      <c r="B444">
        <v>66</v>
      </c>
      <c r="D444">
        <v>1</v>
      </c>
      <c r="E444">
        <v>1</v>
      </c>
      <c r="G444">
        <v>1</v>
      </c>
      <c r="I444">
        <v>1</v>
      </c>
      <c r="J444">
        <f t="shared" si="6"/>
        <v>4</v>
      </c>
    </row>
    <row r="445" spans="1:10" hidden="1">
      <c r="A445">
        <v>277</v>
      </c>
      <c r="B445">
        <v>66</v>
      </c>
      <c r="J445">
        <f t="shared" si="6"/>
        <v>0</v>
      </c>
    </row>
    <row r="446" spans="1:10" hidden="1">
      <c r="A446">
        <v>278</v>
      </c>
      <c r="B446">
        <v>66</v>
      </c>
      <c r="J446">
        <f t="shared" si="6"/>
        <v>0</v>
      </c>
    </row>
    <row r="447" spans="1:10" hidden="1">
      <c r="A447">
        <v>279</v>
      </c>
      <c r="B447">
        <v>66</v>
      </c>
      <c r="J447">
        <f t="shared" si="6"/>
        <v>0</v>
      </c>
    </row>
    <row r="448" spans="1:10" hidden="1">
      <c r="A448">
        <v>280</v>
      </c>
      <c r="B448">
        <v>66</v>
      </c>
      <c r="J448">
        <f t="shared" si="6"/>
        <v>0</v>
      </c>
    </row>
    <row r="449" spans="1:10" hidden="1">
      <c r="A449">
        <v>281</v>
      </c>
      <c r="B449">
        <v>66</v>
      </c>
      <c r="J449">
        <f t="shared" si="6"/>
        <v>0</v>
      </c>
    </row>
    <row r="450" spans="1:10" hidden="1">
      <c r="A450">
        <v>282</v>
      </c>
      <c r="B450">
        <v>66</v>
      </c>
      <c r="J450">
        <f t="shared" si="6"/>
        <v>0</v>
      </c>
    </row>
    <row r="451" spans="1:10" hidden="1">
      <c r="A451">
        <v>283</v>
      </c>
      <c r="B451">
        <v>66</v>
      </c>
      <c r="J451">
        <f t="shared" ref="J451:J514" si="7">SUM(C451:I451)</f>
        <v>0</v>
      </c>
    </row>
    <row r="452" spans="1:10" hidden="1">
      <c r="A452">
        <v>239</v>
      </c>
      <c r="B452">
        <v>65</v>
      </c>
      <c r="J452">
        <f t="shared" si="7"/>
        <v>0</v>
      </c>
    </row>
    <row r="453" spans="1:10" hidden="1">
      <c r="A453">
        <v>240</v>
      </c>
      <c r="B453">
        <v>65</v>
      </c>
      <c r="J453">
        <f t="shared" si="7"/>
        <v>0</v>
      </c>
    </row>
    <row r="454" spans="1:10" hidden="1">
      <c r="A454">
        <v>241</v>
      </c>
      <c r="B454">
        <v>65</v>
      </c>
      <c r="J454">
        <f t="shared" si="7"/>
        <v>0</v>
      </c>
    </row>
    <row r="455" spans="1:10" hidden="1">
      <c r="A455">
        <v>242</v>
      </c>
      <c r="B455">
        <v>65</v>
      </c>
      <c r="J455">
        <f t="shared" si="7"/>
        <v>0</v>
      </c>
    </row>
    <row r="456" spans="1:10" hidden="1">
      <c r="A456">
        <v>243</v>
      </c>
      <c r="B456">
        <v>65</v>
      </c>
      <c r="E456">
        <v>1</v>
      </c>
      <c r="G456">
        <v>1</v>
      </c>
      <c r="H456">
        <v>1</v>
      </c>
      <c r="I456">
        <v>1</v>
      </c>
      <c r="J456">
        <f t="shared" si="7"/>
        <v>4</v>
      </c>
    </row>
    <row r="457" spans="1:10" hidden="1">
      <c r="A457">
        <v>244</v>
      </c>
      <c r="B457">
        <v>65</v>
      </c>
      <c r="J457">
        <f t="shared" si="7"/>
        <v>0</v>
      </c>
    </row>
    <row r="458" spans="1:10" hidden="1">
      <c r="A458">
        <v>245</v>
      </c>
      <c r="B458">
        <v>65</v>
      </c>
      <c r="E458">
        <v>1</v>
      </c>
      <c r="F458">
        <v>1</v>
      </c>
      <c r="H458">
        <v>1</v>
      </c>
      <c r="I458">
        <v>1</v>
      </c>
      <c r="J458">
        <f t="shared" si="7"/>
        <v>4</v>
      </c>
    </row>
    <row r="459" spans="1:10" hidden="1">
      <c r="A459">
        <v>246</v>
      </c>
      <c r="B459">
        <v>65</v>
      </c>
      <c r="D459">
        <v>1</v>
      </c>
      <c r="F459">
        <v>1</v>
      </c>
      <c r="G459">
        <v>1</v>
      </c>
      <c r="H459">
        <v>1</v>
      </c>
      <c r="J459">
        <f t="shared" si="7"/>
        <v>4</v>
      </c>
    </row>
    <row r="460" spans="1:10" hidden="1">
      <c r="A460">
        <v>247</v>
      </c>
      <c r="B460">
        <v>65</v>
      </c>
      <c r="J460">
        <f t="shared" si="7"/>
        <v>0</v>
      </c>
    </row>
    <row r="461" spans="1:10" hidden="1">
      <c r="A461">
        <v>248</v>
      </c>
      <c r="B461">
        <v>65</v>
      </c>
      <c r="E461">
        <v>1</v>
      </c>
      <c r="H461">
        <v>1</v>
      </c>
      <c r="I461">
        <v>2</v>
      </c>
      <c r="J461">
        <f t="shared" si="7"/>
        <v>4</v>
      </c>
    </row>
    <row r="462" spans="1:10" hidden="1">
      <c r="A462">
        <v>249</v>
      </c>
      <c r="B462">
        <v>65</v>
      </c>
      <c r="D462">
        <v>1</v>
      </c>
      <c r="E462">
        <v>1</v>
      </c>
      <c r="F462">
        <v>1</v>
      </c>
      <c r="H462">
        <v>1</v>
      </c>
      <c r="J462">
        <f t="shared" si="7"/>
        <v>4</v>
      </c>
    </row>
    <row r="463" spans="1:10" hidden="1">
      <c r="A463">
        <v>250</v>
      </c>
      <c r="B463">
        <v>65</v>
      </c>
      <c r="J463">
        <f t="shared" si="7"/>
        <v>0</v>
      </c>
    </row>
    <row r="464" spans="1:10" hidden="1">
      <c r="A464">
        <v>251</v>
      </c>
      <c r="B464">
        <v>65</v>
      </c>
      <c r="G464">
        <v>2</v>
      </c>
      <c r="H464">
        <v>1</v>
      </c>
      <c r="I464">
        <v>1</v>
      </c>
      <c r="J464">
        <f t="shared" si="7"/>
        <v>4</v>
      </c>
    </row>
    <row r="465" spans="1:10" hidden="1">
      <c r="A465">
        <v>252</v>
      </c>
      <c r="B465">
        <v>65</v>
      </c>
      <c r="D465">
        <v>1</v>
      </c>
      <c r="E465">
        <v>2</v>
      </c>
      <c r="G465">
        <v>1</v>
      </c>
      <c r="J465">
        <f t="shared" si="7"/>
        <v>4</v>
      </c>
    </row>
    <row r="466" spans="1:10" hidden="1">
      <c r="A466">
        <v>253</v>
      </c>
      <c r="B466">
        <v>65</v>
      </c>
      <c r="F466">
        <v>1</v>
      </c>
      <c r="G466">
        <v>2</v>
      </c>
      <c r="I466">
        <v>1</v>
      </c>
      <c r="J466">
        <f t="shared" si="7"/>
        <v>4</v>
      </c>
    </row>
    <row r="467" spans="1:10" hidden="1">
      <c r="A467">
        <v>254</v>
      </c>
      <c r="B467">
        <v>65</v>
      </c>
      <c r="C467">
        <v>1</v>
      </c>
      <c r="E467">
        <v>1</v>
      </c>
      <c r="F467">
        <v>1</v>
      </c>
      <c r="I467">
        <v>1</v>
      </c>
      <c r="J467">
        <f t="shared" si="7"/>
        <v>4</v>
      </c>
    </row>
    <row r="468" spans="1:10" hidden="1">
      <c r="A468">
        <v>255</v>
      </c>
      <c r="B468">
        <v>65</v>
      </c>
      <c r="G468">
        <v>1</v>
      </c>
      <c r="H468">
        <v>2</v>
      </c>
      <c r="I468">
        <v>1</v>
      </c>
      <c r="J468">
        <f t="shared" si="7"/>
        <v>4</v>
      </c>
    </row>
    <row r="469" spans="1:10" hidden="1">
      <c r="A469">
        <v>256</v>
      </c>
      <c r="B469">
        <v>65</v>
      </c>
      <c r="E469">
        <v>1</v>
      </c>
      <c r="F469">
        <v>1</v>
      </c>
      <c r="I469">
        <v>2</v>
      </c>
      <c r="J469">
        <f t="shared" si="7"/>
        <v>4</v>
      </c>
    </row>
    <row r="470" spans="1:10" hidden="1">
      <c r="A470">
        <v>257</v>
      </c>
      <c r="B470">
        <v>65</v>
      </c>
      <c r="D470">
        <v>1</v>
      </c>
      <c r="E470">
        <v>1</v>
      </c>
      <c r="G470">
        <v>1</v>
      </c>
      <c r="H470">
        <v>1</v>
      </c>
      <c r="J470">
        <f t="shared" si="7"/>
        <v>4</v>
      </c>
    </row>
    <row r="471" spans="1:10" hidden="1">
      <c r="A471">
        <v>258</v>
      </c>
      <c r="B471">
        <v>65</v>
      </c>
      <c r="D471">
        <v>1</v>
      </c>
      <c r="E471">
        <v>1</v>
      </c>
      <c r="I471">
        <v>2</v>
      </c>
      <c r="J471">
        <f t="shared" si="7"/>
        <v>4</v>
      </c>
    </row>
    <row r="472" spans="1:10" hidden="1">
      <c r="A472">
        <v>259</v>
      </c>
      <c r="B472">
        <v>65</v>
      </c>
      <c r="J472">
        <f t="shared" si="7"/>
        <v>0</v>
      </c>
    </row>
    <row r="473" spans="1:10" hidden="1">
      <c r="A473">
        <v>260</v>
      </c>
      <c r="B473">
        <v>65</v>
      </c>
      <c r="C473">
        <v>1</v>
      </c>
      <c r="F473">
        <v>1</v>
      </c>
      <c r="H473">
        <v>1</v>
      </c>
      <c r="I473">
        <v>1</v>
      </c>
      <c r="J473">
        <f t="shared" si="7"/>
        <v>4</v>
      </c>
    </row>
    <row r="474" spans="1:10" hidden="1">
      <c r="A474">
        <v>261</v>
      </c>
      <c r="B474">
        <v>65</v>
      </c>
      <c r="J474">
        <f t="shared" si="7"/>
        <v>0</v>
      </c>
    </row>
    <row r="475" spans="1:10" hidden="1">
      <c r="A475">
        <v>262</v>
      </c>
      <c r="B475">
        <v>65</v>
      </c>
      <c r="D475">
        <v>1</v>
      </c>
      <c r="E475">
        <v>1</v>
      </c>
      <c r="F475">
        <v>1</v>
      </c>
      <c r="I475">
        <v>1</v>
      </c>
      <c r="J475">
        <f t="shared" si="7"/>
        <v>4</v>
      </c>
    </row>
    <row r="476" spans="1:10" hidden="1">
      <c r="A476">
        <v>263</v>
      </c>
      <c r="B476">
        <v>65</v>
      </c>
      <c r="C476">
        <v>1</v>
      </c>
      <c r="D476">
        <v>1</v>
      </c>
      <c r="G476">
        <v>1</v>
      </c>
      <c r="I476">
        <v>1</v>
      </c>
      <c r="J476">
        <f t="shared" si="7"/>
        <v>4</v>
      </c>
    </row>
    <row r="477" spans="1:10" hidden="1">
      <c r="A477">
        <v>264</v>
      </c>
      <c r="B477">
        <v>65</v>
      </c>
      <c r="E477">
        <v>1</v>
      </c>
      <c r="F477">
        <v>1</v>
      </c>
      <c r="G477">
        <v>1</v>
      </c>
      <c r="I477">
        <v>1</v>
      </c>
      <c r="J477">
        <f t="shared" si="7"/>
        <v>4</v>
      </c>
    </row>
    <row r="478" spans="1:10" hidden="1">
      <c r="A478">
        <v>265</v>
      </c>
      <c r="B478">
        <v>65</v>
      </c>
      <c r="J478">
        <f t="shared" si="7"/>
        <v>0</v>
      </c>
    </row>
    <row r="479" spans="1:10" hidden="1">
      <c r="A479">
        <v>266</v>
      </c>
      <c r="B479">
        <v>65</v>
      </c>
      <c r="C479">
        <v>1</v>
      </c>
      <c r="E479">
        <v>1</v>
      </c>
      <c r="G479">
        <v>1</v>
      </c>
      <c r="H479">
        <v>1</v>
      </c>
      <c r="J479">
        <f t="shared" si="7"/>
        <v>4</v>
      </c>
    </row>
    <row r="480" spans="1:10" hidden="1">
      <c r="A480">
        <v>267</v>
      </c>
      <c r="B480">
        <v>65</v>
      </c>
      <c r="C480">
        <v>1</v>
      </c>
      <c r="D480">
        <v>2</v>
      </c>
      <c r="E480">
        <v>1</v>
      </c>
      <c r="J480">
        <f t="shared" si="7"/>
        <v>4</v>
      </c>
    </row>
    <row r="481" spans="1:10" hidden="1">
      <c r="A481">
        <v>268</v>
      </c>
      <c r="B481">
        <v>65</v>
      </c>
      <c r="C481">
        <v>1</v>
      </c>
      <c r="D481">
        <v>1</v>
      </c>
      <c r="F481">
        <v>1</v>
      </c>
      <c r="G481">
        <v>1</v>
      </c>
      <c r="J481">
        <f t="shared" si="7"/>
        <v>4</v>
      </c>
    </row>
    <row r="482" spans="1:10" hidden="1">
      <c r="A482">
        <v>269</v>
      </c>
      <c r="B482">
        <v>65</v>
      </c>
      <c r="D482">
        <v>1</v>
      </c>
      <c r="E482">
        <v>1</v>
      </c>
      <c r="H482">
        <v>1</v>
      </c>
      <c r="I482">
        <v>1</v>
      </c>
      <c r="J482">
        <f t="shared" si="7"/>
        <v>4</v>
      </c>
    </row>
    <row r="483" spans="1:10" hidden="1">
      <c r="A483">
        <v>270</v>
      </c>
      <c r="B483">
        <v>65</v>
      </c>
      <c r="J483">
        <f t="shared" si="7"/>
        <v>0</v>
      </c>
    </row>
    <row r="484" spans="1:10" hidden="1">
      <c r="A484">
        <v>271</v>
      </c>
      <c r="B484">
        <v>65</v>
      </c>
      <c r="J484">
        <f t="shared" si="7"/>
        <v>0</v>
      </c>
    </row>
    <row r="485" spans="1:10" hidden="1">
      <c r="A485">
        <v>272</v>
      </c>
      <c r="B485">
        <v>65</v>
      </c>
      <c r="C485">
        <v>1</v>
      </c>
      <c r="D485">
        <v>1</v>
      </c>
      <c r="F485">
        <v>1</v>
      </c>
      <c r="I485">
        <v>1</v>
      </c>
      <c r="J485">
        <f t="shared" si="7"/>
        <v>4</v>
      </c>
    </row>
    <row r="486" spans="1:10" hidden="1">
      <c r="A486">
        <v>273</v>
      </c>
      <c r="B486">
        <v>65</v>
      </c>
      <c r="J486">
        <f t="shared" si="7"/>
        <v>0</v>
      </c>
    </row>
    <row r="487" spans="1:10" hidden="1">
      <c r="A487">
        <v>274</v>
      </c>
      <c r="B487">
        <v>65</v>
      </c>
      <c r="C487">
        <v>1</v>
      </c>
      <c r="E487">
        <v>1</v>
      </c>
      <c r="H487">
        <v>2</v>
      </c>
      <c r="J487">
        <f t="shared" si="7"/>
        <v>4</v>
      </c>
    </row>
    <row r="488" spans="1:10" hidden="1">
      <c r="A488">
        <v>275</v>
      </c>
      <c r="B488">
        <v>65</v>
      </c>
      <c r="E488">
        <v>1</v>
      </c>
      <c r="F488">
        <v>1</v>
      </c>
      <c r="G488">
        <v>1</v>
      </c>
      <c r="I488">
        <v>1</v>
      </c>
      <c r="J488">
        <f t="shared" si="7"/>
        <v>4</v>
      </c>
    </row>
    <row r="489" spans="1:10" hidden="1">
      <c r="A489">
        <v>276</v>
      </c>
      <c r="B489">
        <v>65</v>
      </c>
      <c r="C489">
        <v>1</v>
      </c>
      <c r="H489">
        <v>1</v>
      </c>
      <c r="I489">
        <v>2</v>
      </c>
      <c r="J489">
        <f t="shared" si="7"/>
        <v>4</v>
      </c>
    </row>
    <row r="490" spans="1:10" hidden="1">
      <c r="A490">
        <v>277</v>
      </c>
      <c r="B490">
        <v>65</v>
      </c>
      <c r="J490">
        <f t="shared" si="7"/>
        <v>0</v>
      </c>
    </row>
    <row r="491" spans="1:10" hidden="1">
      <c r="A491">
        <v>278</v>
      </c>
      <c r="B491">
        <v>65</v>
      </c>
      <c r="J491">
        <f t="shared" si="7"/>
        <v>0</v>
      </c>
    </row>
    <row r="492" spans="1:10" hidden="1">
      <c r="A492">
        <v>279</v>
      </c>
      <c r="B492">
        <v>65</v>
      </c>
      <c r="J492">
        <f t="shared" si="7"/>
        <v>0</v>
      </c>
    </row>
    <row r="493" spans="1:10" hidden="1">
      <c r="A493">
        <v>280</v>
      </c>
      <c r="B493">
        <v>65</v>
      </c>
      <c r="J493">
        <f t="shared" si="7"/>
        <v>0</v>
      </c>
    </row>
    <row r="494" spans="1:10" hidden="1">
      <c r="A494">
        <v>281</v>
      </c>
      <c r="B494">
        <v>65</v>
      </c>
      <c r="J494">
        <f t="shared" si="7"/>
        <v>0</v>
      </c>
    </row>
    <row r="495" spans="1:10" hidden="1">
      <c r="A495">
        <v>282</v>
      </c>
      <c r="B495">
        <v>65</v>
      </c>
      <c r="J495">
        <f t="shared" si="7"/>
        <v>0</v>
      </c>
    </row>
    <row r="496" spans="1:10" hidden="1">
      <c r="A496">
        <v>283</v>
      </c>
      <c r="B496">
        <v>65</v>
      </c>
      <c r="J496">
        <f t="shared" si="7"/>
        <v>0</v>
      </c>
    </row>
    <row r="497" spans="1:10" hidden="1">
      <c r="A497">
        <v>239</v>
      </c>
      <c r="B497">
        <v>64</v>
      </c>
      <c r="J497">
        <f t="shared" si="7"/>
        <v>0</v>
      </c>
    </row>
    <row r="498" spans="1:10" hidden="1">
      <c r="A498">
        <v>240</v>
      </c>
      <c r="B498">
        <v>64</v>
      </c>
      <c r="J498">
        <f t="shared" si="7"/>
        <v>0</v>
      </c>
    </row>
    <row r="499" spans="1:10" hidden="1">
      <c r="A499">
        <v>241</v>
      </c>
      <c r="B499">
        <v>64</v>
      </c>
      <c r="J499">
        <f t="shared" si="7"/>
        <v>0</v>
      </c>
    </row>
    <row r="500" spans="1:10" hidden="1">
      <c r="A500">
        <v>242</v>
      </c>
      <c r="B500">
        <v>64</v>
      </c>
      <c r="J500">
        <f t="shared" si="7"/>
        <v>0</v>
      </c>
    </row>
    <row r="501" spans="1:10" hidden="1">
      <c r="A501">
        <v>243</v>
      </c>
      <c r="B501">
        <v>64</v>
      </c>
      <c r="C501">
        <v>1</v>
      </c>
      <c r="E501">
        <v>2</v>
      </c>
      <c r="I501">
        <v>1</v>
      </c>
      <c r="J501">
        <f t="shared" si="7"/>
        <v>4</v>
      </c>
    </row>
    <row r="502" spans="1:10" hidden="1">
      <c r="A502">
        <v>244</v>
      </c>
      <c r="B502">
        <v>64</v>
      </c>
      <c r="C502">
        <v>1</v>
      </c>
      <c r="D502">
        <v>1</v>
      </c>
      <c r="E502">
        <v>1</v>
      </c>
      <c r="G502">
        <v>1</v>
      </c>
      <c r="J502">
        <f t="shared" si="7"/>
        <v>4</v>
      </c>
    </row>
    <row r="503" spans="1:10" hidden="1">
      <c r="A503">
        <v>245</v>
      </c>
      <c r="B503">
        <v>64</v>
      </c>
      <c r="D503">
        <v>2</v>
      </c>
      <c r="F503">
        <v>1</v>
      </c>
      <c r="H503">
        <v>1</v>
      </c>
      <c r="J503">
        <f t="shared" si="7"/>
        <v>4</v>
      </c>
    </row>
    <row r="504" spans="1:10" hidden="1">
      <c r="A504">
        <v>246</v>
      </c>
      <c r="B504">
        <v>64</v>
      </c>
      <c r="J504">
        <f t="shared" si="7"/>
        <v>0</v>
      </c>
    </row>
    <row r="505" spans="1:10" hidden="1">
      <c r="A505">
        <v>247</v>
      </c>
      <c r="B505">
        <v>64</v>
      </c>
      <c r="J505">
        <f t="shared" si="7"/>
        <v>0</v>
      </c>
    </row>
    <row r="506" spans="1:10" hidden="1">
      <c r="A506">
        <v>248</v>
      </c>
      <c r="B506">
        <v>64</v>
      </c>
      <c r="D506">
        <v>1</v>
      </c>
      <c r="F506">
        <v>1</v>
      </c>
      <c r="G506">
        <v>1</v>
      </c>
      <c r="I506">
        <v>1</v>
      </c>
      <c r="J506">
        <f t="shared" si="7"/>
        <v>4</v>
      </c>
    </row>
    <row r="507" spans="1:10" hidden="1">
      <c r="A507">
        <v>249</v>
      </c>
      <c r="B507">
        <v>64</v>
      </c>
      <c r="E507">
        <v>1</v>
      </c>
      <c r="G507">
        <v>1</v>
      </c>
      <c r="H507">
        <v>1</v>
      </c>
      <c r="I507">
        <v>1</v>
      </c>
      <c r="J507">
        <f t="shared" si="7"/>
        <v>4</v>
      </c>
    </row>
    <row r="508" spans="1:10" hidden="1">
      <c r="A508">
        <v>250</v>
      </c>
      <c r="B508">
        <v>64</v>
      </c>
      <c r="D508">
        <v>1</v>
      </c>
      <c r="E508">
        <v>2</v>
      </c>
      <c r="H508">
        <v>1</v>
      </c>
      <c r="J508">
        <f t="shared" si="7"/>
        <v>4</v>
      </c>
    </row>
    <row r="509" spans="1:10" hidden="1">
      <c r="A509">
        <v>251</v>
      </c>
      <c r="B509">
        <v>64</v>
      </c>
      <c r="E509">
        <v>1</v>
      </c>
      <c r="H509">
        <v>1</v>
      </c>
      <c r="I509">
        <v>2</v>
      </c>
      <c r="J509">
        <f t="shared" si="7"/>
        <v>4</v>
      </c>
    </row>
    <row r="510" spans="1:10" hidden="1">
      <c r="A510">
        <v>252</v>
      </c>
      <c r="B510">
        <v>64</v>
      </c>
      <c r="F510">
        <v>1</v>
      </c>
      <c r="G510">
        <v>1</v>
      </c>
      <c r="H510">
        <v>1</v>
      </c>
      <c r="I510">
        <v>1</v>
      </c>
      <c r="J510">
        <f t="shared" si="7"/>
        <v>4</v>
      </c>
    </row>
    <row r="511" spans="1:10" hidden="1">
      <c r="A511">
        <v>253</v>
      </c>
      <c r="B511">
        <v>64</v>
      </c>
      <c r="D511">
        <v>1</v>
      </c>
      <c r="F511">
        <v>1</v>
      </c>
      <c r="H511">
        <v>1</v>
      </c>
      <c r="I511">
        <v>1</v>
      </c>
      <c r="J511">
        <f t="shared" si="7"/>
        <v>4</v>
      </c>
    </row>
    <row r="512" spans="1:10" hidden="1">
      <c r="A512">
        <v>254</v>
      </c>
      <c r="B512">
        <v>64</v>
      </c>
      <c r="D512">
        <v>1</v>
      </c>
      <c r="G512">
        <v>1</v>
      </c>
      <c r="H512">
        <v>1</v>
      </c>
      <c r="I512">
        <v>1</v>
      </c>
      <c r="J512">
        <f t="shared" si="7"/>
        <v>4</v>
      </c>
    </row>
    <row r="513" spans="1:10" hidden="1">
      <c r="A513">
        <v>255</v>
      </c>
      <c r="B513">
        <v>64</v>
      </c>
      <c r="E513">
        <v>1</v>
      </c>
      <c r="F513">
        <v>1</v>
      </c>
      <c r="G513">
        <v>2</v>
      </c>
      <c r="J513">
        <f t="shared" si="7"/>
        <v>4</v>
      </c>
    </row>
    <row r="514" spans="1:10" hidden="1">
      <c r="A514">
        <v>256</v>
      </c>
      <c r="B514">
        <v>64</v>
      </c>
      <c r="C514">
        <v>1</v>
      </c>
      <c r="D514">
        <v>1</v>
      </c>
      <c r="H514">
        <v>1</v>
      </c>
      <c r="I514">
        <v>1</v>
      </c>
      <c r="J514">
        <f t="shared" si="7"/>
        <v>4</v>
      </c>
    </row>
    <row r="515" spans="1:10" hidden="1">
      <c r="A515">
        <v>257</v>
      </c>
      <c r="B515">
        <v>64</v>
      </c>
      <c r="E515">
        <v>2</v>
      </c>
      <c r="H515">
        <v>1</v>
      </c>
      <c r="I515">
        <v>1</v>
      </c>
      <c r="J515">
        <f t="shared" ref="J515:J578" si="8">SUM(C515:I515)</f>
        <v>4</v>
      </c>
    </row>
    <row r="516" spans="1:10" hidden="1">
      <c r="A516">
        <v>258</v>
      </c>
      <c r="B516">
        <v>64</v>
      </c>
      <c r="C516">
        <v>1</v>
      </c>
      <c r="D516">
        <v>1</v>
      </c>
      <c r="F516">
        <v>1</v>
      </c>
      <c r="H516">
        <v>1</v>
      </c>
      <c r="J516">
        <f t="shared" si="8"/>
        <v>4</v>
      </c>
    </row>
    <row r="517" spans="1:10" hidden="1">
      <c r="A517">
        <v>259</v>
      </c>
      <c r="B517">
        <v>64</v>
      </c>
      <c r="D517">
        <v>1</v>
      </c>
      <c r="F517">
        <v>1</v>
      </c>
      <c r="G517">
        <v>1</v>
      </c>
      <c r="H517">
        <v>1</v>
      </c>
      <c r="J517">
        <f t="shared" si="8"/>
        <v>4</v>
      </c>
    </row>
    <row r="518" spans="1:10" hidden="1">
      <c r="A518">
        <v>260</v>
      </c>
      <c r="B518">
        <v>64</v>
      </c>
      <c r="J518">
        <f t="shared" si="8"/>
        <v>0</v>
      </c>
    </row>
    <row r="519" spans="1:10" hidden="1">
      <c r="A519">
        <v>261</v>
      </c>
      <c r="B519">
        <v>64</v>
      </c>
      <c r="J519">
        <f t="shared" si="8"/>
        <v>0</v>
      </c>
    </row>
    <row r="520" spans="1:10" hidden="1">
      <c r="A520">
        <v>262</v>
      </c>
      <c r="B520">
        <v>64</v>
      </c>
      <c r="D520">
        <v>1</v>
      </c>
      <c r="E520">
        <v>1</v>
      </c>
      <c r="F520">
        <v>1</v>
      </c>
      <c r="I520">
        <v>1</v>
      </c>
      <c r="J520">
        <f t="shared" si="8"/>
        <v>4</v>
      </c>
    </row>
    <row r="521" spans="1:10" hidden="1">
      <c r="A521">
        <v>263</v>
      </c>
      <c r="B521">
        <v>64</v>
      </c>
      <c r="C521">
        <v>1</v>
      </c>
      <c r="E521">
        <v>1</v>
      </c>
      <c r="H521">
        <v>1</v>
      </c>
      <c r="I521">
        <v>1</v>
      </c>
      <c r="J521">
        <f t="shared" si="8"/>
        <v>4</v>
      </c>
    </row>
    <row r="522" spans="1:10" hidden="1">
      <c r="A522">
        <v>264</v>
      </c>
      <c r="B522">
        <v>64</v>
      </c>
      <c r="C522">
        <v>1</v>
      </c>
      <c r="E522">
        <v>1</v>
      </c>
      <c r="H522">
        <v>2</v>
      </c>
      <c r="J522">
        <f t="shared" si="8"/>
        <v>4</v>
      </c>
    </row>
    <row r="523" spans="1:10" hidden="1">
      <c r="A523">
        <v>265</v>
      </c>
      <c r="B523">
        <v>64</v>
      </c>
      <c r="D523">
        <v>1</v>
      </c>
      <c r="F523">
        <v>1</v>
      </c>
      <c r="G523">
        <v>1</v>
      </c>
      <c r="I523">
        <v>1</v>
      </c>
      <c r="J523">
        <f t="shared" si="8"/>
        <v>4</v>
      </c>
    </row>
    <row r="524" spans="1:10" hidden="1">
      <c r="A524">
        <v>266</v>
      </c>
      <c r="B524">
        <v>64</v>
      </c>
      <c r="F524">
        <v>1</v>
      </c>
      <c r="G524">
        <v>2</v>
      </c>
      <c r="H524">
        <v>1</v>
      </c>
      <c r="J524">
        <f t="shared" si="8"/>
        <v>4</v>
      </c>
    </row>
    <row r="525" spans="1:10" hidden="1">
      <c r="A525">
        <v>267</v>
      </c>
      <c r="B525">
        <v>64</v>
      </c>
      <c r="D525">
        <v>1</v>
      </c>
      <c r="E525">
        <v>1</v>
      </c>
      <c r="F525">
        <v>1</v>
      </c>
      <c r="I525">
        <v>1</v>
      </c>
      <c r="J525">
        <f t="shared" si="8"/>
        <v>4</v>
      </c>
    </row>
    <row r="526" spans="1:10" hidden="1">
      <c r="A526">
        <v>268</v>
      </c>
      <c r="B526">
        <v>64</v>
      </c>
      <c r="J526">
        <f t="shared" si="8"/>
        <v>0</v>
      </c>
    </row>
    <row r="527" spans="1:10" hidden="1">
      <c r="A527">
        <v>269</v>
      </c>
      <c r="B527">
        <v>64</v>
      </c>
      <c r="G527">
        <v>2</v>
      </c>
      <c r="H527">
        <v>1</v>
      </c>
      <c r="I527">
        <v>1</v>
      </c>
      <c r="J527">
        <f t="shared" si="8"/>
        <v>4</v>
      </c>
    </row>
    <row r="528" spans="1:10" hidden="1">
      <c r="A528">
        <v>270</v>
      </c>
      <c r="B528">
        <v>64</v>
      </c>
      <c r="C528">
        <v>1</v>
      </c>
      <c r="D528">
        <v>2</v>
      </c>
      <c r="E528">
        <v>1</v>
      </c>
      <c r="J528">
        <f t="shared" si="8"/>
        <v>4</v>
      </c>
    </row>
    <row r="529" spans="1:10" hidden="1">
      <c r="A529">
        <v>271</v>
      </c>
      <c r="B529">
        <v>64</v>
      </c>
      <c r="C529">
        <v>1</v>
      </c>
      <c r="E529">
        <v>1</v>
      </c>
      <c r="F529">
        <v>1</v>
      </c>
      <c r="H529">
        <v>1</v>
      </c>
      <c r="J529">
        <f t="shared" si="8"/>
        <v>4</v>
      </c>
    </row>
    <row r="530" spans="1:10" hidden="1">
      <c r="A530">
        <v>272</v>
      </c>
      <c r="B530">
        <v>64</v>
      </c>
      <c r="D530">
        <v>1</v>
      </c>
      <c r="G530">
        <v>1</v>
      </c>
      <c r="H530">
        <v>2</v>
      </c>
      <c r="J530">
        <f t="shared" si="8"/>
        <v>4</v>
      </c>
    </row>
    <row r="531" spans="1:10" hidden="1">
      <c r="A531">
        <v>273</v>
      </c>
      <c r="B531">
        <v>64</v>
      </c>
      <c r="D531">
        <v>2</v>
      </c>
      <c r="F531">
        <v>1</v>
      </c>
      <c r="I531">
        <v>1</v>
      </c>
      <c r="J531">
        <f t="shared" si="8"/>
        <v>4</v>
      </c>
    </row>
    <row r="532" spans="1:10" hidden="1">
      <c r="A532">
        <v>274</v>
      </c>
      <c r="B532">
        <v>64</v>
      </c>
      <c r="C532">
        <v>1</v>
      </c>
      <c r="D532">
        <v>1</v>
      </c>
      <c r="F532">
        <v>1</v>
      </c>
      <c r="H532">
        <v>1</v>
      </c>
      <c r="J532">
        <f t="shared" si="8"/>
        <v>4</v>
      </c>
    </row>
    <row r="533" spans="1:10" hidden="1">
      <c r="A533">
        <v>275</v>
      </c>
      <c r="B533">
        <v>64</v>
      </c>
      <c r="C533">
        <v>1</v>
      </c>
      <c r="F533">
        <v>2</v>
      </c>
      <c r="I533">
        <v>1</v>
      </c>
      <c r="J533">
        <f t="shared" si="8"/>
        <v>4</v>
      </c>
    </row>
    <row r="534" spans="1:10" hidden="1">
      <c r="A534">
        <v>276</v>
      </c>
      <c r="B534">
        <v>64</v>
      </c>
      <c r="C534">
        <v>1</v>
      </c>
      <c r="D534">
        <v>1</v>
      </c>
      <c r="F534">
        <v>1</v>
      </c>
      <c r="H534">
        <v>1</v>
      </c>
      <c r="J534">
        <f t="shared" si="8"/>
        <v>4</v>
      </c>
    </row>
    <row r="535" spans="1:10" hidden="1">
      <c r="A535">
        <v>277</v>
      </c>
      <c r="B535">
        <v>64</v>
      </c>
      <c r="J535">
        <f t="shared" si="8"/>
        <v>0</v>
      </c>
    </row>
    <row r="536" spans="1:10" hidden="1">
      <c r="A536">
        <v>278</v>
      </c>
      <c r="B536">
        <v>64</v>
      </c>
      <c r="J536">
        <f t="shared" si="8"/>
        <v>0</v>
      </c>
    </row>
    <row r="537" spans="1:10" hidden="1">
      <c r="A537">
        <v>279</v>
      </c>
      <c r="B537">
        <v>64</v>
      </c>
      <c r="J537">
        <f t="shared" si="8"/>
        <v>0</v>
      </c>
    </row>
    <row r="538" spans="1:10" hidden="1">
      <c r="A538">
        <v>280</v>
      </c>
      <c r="B538">
        <v>64</v>
      </c>
      <c r="J538">
        <f t="shared" si="8"/>
        <v>0</v>
      </c>
    </row>
    <row r="539" spans="1:10" hidden="1">
      <c r="A539">
        <v>281</v>
      </c>
      <c r="B539">
        <v>64</v>
      </c>
      <c r="J539">
        <f t="shared" si="8"/>
        <v>0</v>
      </c>
    </row>
    <row r="540" spans="1:10" hidden="1">
      <c r="A540">
        <v>282</v>
      </c>
      <c r="B540">
        <v>64</v>
      </c>
      <c r="J540">
        <f t="shared" si="8"/>
        <v>0</v>
      </c>
    </row>
    <row r="541" spans="1:10" hidden="1">
      <c r="A541">
        <v>283</v>
      </c>
      <c r="B541">
        <v>64</v>
      </c>
      <c r="J541">
        <f t="shared" si="8"/>
        <v>0</v>
      </c>
    </row>
    <row r="542" spans="1:10" hidden="1">
      <c r="A542">
        <v>239</v>
      </c>
      <c r="B542">
        <v>63</v>
      </c>
      <c r="J542">
        <f t="shared" si="8"/>
        <v>0</v>
      </c>
    </row>
    <row r="543" spans="1:10" hidden="1">
      <c r="A543">
        <v>240</v>
      </c>
      <c r="B543">
        <v>63</v>
      </c>
      <c r="J543">
        <f t="shared" si="8"/>
        <v>0</v>
      </c>
    </row>
    <row r="544" spans="1:10" hidden="1">
      <c r="A544">
        <v>241</v>
      </c>
      <c r="B544">
        <v>63</v>
      </c>
      <c r="J544">
        <f t="shared" si="8"/>
        <v>0</v>
      </c>
    </row>
    <row r="545" spans="1:10" hidden="1">
      <c r="A545">
        <v>242</v>
      </c>
      <c r="B545">
        <v>63</v>
      </c>
      <c r="J545">
        <f t="shared" si="8"/>
        <v>0</v>
      </c>
    </row>
    <row r="546" spans="1:10" hidden="1">
      <c r="A546">
        <v>243</v>
      </c>
      <c r="B546">
        <v>63</v>
      </c>
      <c r="J546">
        <f t="shared" si="8"/>
        <v>0</v>
      </c>
    </row>
    <row r="547" spans="1:10" hidden="1">
      <c r="A547">
        <v>244</v>
      </c>
      <c r="B547">
        <v>63</v>
      </c>
      <c r="E547">
        <v>1</v>
      </c>
      <c r="G547">
        <v>1</v>
      </c>
      <c r="I547">
        <v>2</v>
      </c>
      <c r="J547">
        <f t="shared" si="8"/>
        <v>4</v>
      </c>
    </row>
    <row r="548" spans="1:10" hidden="1">
      <c r="A548">
        <v>245</v>
      </c>
      <c r="B548">
        <v>63</v>
      </c>
      <c r="C548">
        <v>1</v>
      </c>
      <c r="G548">
        <v>1</v>
      </c>
      <c r="H548">
        <v>1</v>
      </c>
      <c r="I548">
        <v>1</v>
      </c>
      <c r="J548">
        <f t="shared" si="8"/>
        <v>4</v>
      </c>
    </row>
    <row r="549" spans="1:10" hidden="1">
      <c r="A549">
        <v>246</v>
      </c>
      <c r="B549">
        <v>63</v>
      </c>
      <c r="C549">
        <v>1</v>
      </c>
      <c r="G549">
        <v>1</v>
      </c>
      <c r="H549">
        <v>1</v>
      </c>
      <c r="I549">
        <v>1</v>
      </c>
      <c r="J549">
        <f t="shared" si="8"/>
        <v>4</v>
      </c>
    </row>
    <row r="550" spans="1:10" hidden="1">
      <c r="A550">
        <v>247</v>
      </c>
      <c r="B550">
        <v>63</v>
      </c>
      <c r="C550">
        <v>1</v>
      </c>
      <c r="F550">
        <v>1</v>
      </c>
      <c r="I550">
        <v>2</v>
      </c>
      <c r="J550">
        <f t="shared" si="8"/>
        <v>4</v>
      </c>
    </row>
    <row r="551" spans="1:10" hidden="1">
      <c r="A551">
        <v>248</v>
      </c>
      <c r="B551">
        <v>63</v>
      </c>
      <c r="D551">
        <v>1</v>
      </c>
      <c r="G551">
        <v>2</v>
      </c>
      <c r="I551">
        <v>1</v>
      </c>
      <c r="J551">
        <f t="shared" si="8"/>
        <v>4</v>
      </c>
    </row>
    <row r="552" spans="1:10" hidden="1">
      <c r="A552">
        <v>249</v>
      </c>
      <c r="B552">
        <v>63</v>
      </c>
      <c r="E552">
        <v>2</v>
      </c>
      <c r="F552">
        <v>1</v>
      </c>
      <c r="H552">
        <v>1</v>
      </c>
      <c r="J552">
        <f t="shared" si="8"/>
        <v>4</v>
      </c>
    </row>
    <row r="553" spans="1:10" hidden="1">
      <c r="A553">
        <v>250</v>
      </c>
      <c r="B553">
        <v>63</v>
      </c>
      <c r="E553">
        <v>1</v>
      </c>
      <c r="G553">
        <v>2</v>
      </c>
      <c r="H553">
        <v>1</v>
      </c>
      <c r="J553">
        <f t="shared" si="8"/>
        <v>4</v>
      </c>
    </row>
    <row r="554" spans="1:10" hidden="1">
      <c r="A554">
        <v>251</v>
      </c>
      <c r="B554">
        <v>63</v>
      </c>
      <c r="J554">
        <f t="shared" si="8"/>
        <v>0</v>
      </c>
    </row>
    <row r="555" spans="1:10" hidden="1">
      <c r="A555">
        <v>252</v>
      </c>
      <c r="B555">
        <v>63</v>
      </c>
      <c r="C555">
        <v>1</v>
      </c>
      <c r="D555">
        <v>1</v>
      </c>
      <c r="E555">
        <v>1</v>
      </c>
      <c r="H555">
        <v>1</v>
      </c>
      <c r="J555">
        <f t="shared" si="8"/>
        <v>4</v>
      </c>
    </row>
    <row r="556" spans="1:10" hidden="1">
      <c r="A556">
        <v>253</v>
      </c>
      <c r="B556">
        <v>63</v>
      </c>
      <c r="C556">
        <v>1</v>
      </c>
      <c r="D556">
        <v>1</v>
      </c>
      <c r="G556">
        <v>1</v>
      </c>
      <c r="I556">
        <v>1</v>
      </c>
      <c r="J556">
        <f t="shared" si="8"/>
        <v>4</v>
      </c>
    </row>
    <row r="557" spans="1:10" hidden="1">
      <c r="A557">
        <v>254</v>
      </c>
      <c r="B557">
        <v>63</v>
      </c>
      <c r="F557">
        <v>1</v>
      </c>
      <c r="G557">
        <v>1</v>
      </c>
      <c r="H557">
        <v>1</v>
      </c>
      <c r="I557">
        <v>1</v>
      </c>
      <c r="J557">
        <f t="shared" si="8"/>
        <v>4</v>
      </c>
    </row>
    <row r="558" spans="1:10" hidden="1">
      <c r="A558">
        <v>255</v>
      </c>
      <c r="B558">
        <v>63</v>
      </c>
      <c r="J558">
        <f t="shared" si="8"/>
        <v>0</v>
      </c>
    </row>
    <row r="559" spans="1:10" hidden="1">
      <c r="A559">
        <v>256</v>
      </c>
      <c r="B559">
        <v>63</v>
      </c>
      <c r="J559">
        <f t="shared" si="8"/>
        <v>0</v>
      </c>
    </row>
    <row r="560" spans="1:10" hidden="1">
      <c r="A560">
        <v>257</v>
      </c>
      <c r="B560">
        <v>63</v>
      </c>
      <c r="J560">
        <f t="shared" si="8"/>
        <v>0</v>
      </c>
    </row>
    <row r="561" spans="1:10" hidden="1">
      <c r="A561">
        <v>258</v>
      </c>
      <c r="B561">
        <v>63</v>
      </c>
      <c r="C561">
        <v>1</v>
      </c>
      <c r="D561">
        <v>1</v>
      </c>
      <c r="F561">
        <v>1</v>
      </c>
      <c r="H561">
        <v>1</v>
      </c>
      <c r="J561">
        <f t="shared" si="8"/>
        <v>4</v>
      </c>
    </row>
    <row r="562" spans="1:10" hidden="1">
      <c r="A562">
        <v>259</v>
      </c>
      <c r="B562">
        <v>63</v>
      </c>
      <c r="D562">
        <v>2</v>
      </c>
      <c r="E562">
        <v>1</v>
      </c>
      <c r="G562">
        <v>1</v>
      </c>
      <c r="J562">
        <f t="shared" si="8"/>
        <v>4</v>
      </c>
    </row>
    <row r="563" spans="1:10" hidden="1">
      <c r="A563">
        <v>260</v>
      </c>
      <c r="B563">
        <v>63</v>
      </c>
      <c r="C563">
        <v>1</v>
      </c>
      <c r="D563">
        <v>1</v>
      </c>
      <c r="F563">
        <v>1</v>
      </c>
      <c r="G563">
        <v>1</v>
      </c>
      <c r="J563">
        <f t="shared" si="8"/>
        <v>4</v>
      </c>
    </row>
    <row r="564" spans="1:10" hidden="1">
      <c r="A564">
        <v>261</v>
      </c>
      <c r="B564">
        <v>63</v>
      </c>
      <c r="J564">
        <f t="shared" si="8"/>
        <v>0</v>
      </c>
    </row>
    <row r="565" spans="1:10" hidden="1">
      <c r="A565">
        <v>262</v>
      </c>
      <c r="B565">
        <v>63</v>
      </c>
      <c r="G565">
        <v>2</v>
      </c>
      <c r="H565">
        <v>1</v>
      </c>
      <c r="I565">
        <v>1</v>
      </c>
      <c r="J565">
        <f t="shared" si="8"/>
        <v>4</v>
      </c>
    </row>
    <row r="566" spans="1:10" hidden="1">
      <c r="A566">
        <v>263</v>
      </c>
      <c r="B566">
        <v>63</v>
      </c>
      <c r="C566">
        <v>1</v>
      </c>
      <c r="D566">
        <v>1</v>
      </c>
      <c r="F566">
        <v>1</v>
      </c>
      <c r="H566">
        <v>1</v>
      </c>
      <c r="J566">
        <f t="shared" si="8"/>
        <v>4</v>
      </c>
    </row>
    <row r="567" spans="1:10" hidden="1">
      <c r="A567">
        <v>264</v>
      </c>
      <c r="B567">
        <v>63</v>
      </c>
      <c r="F567">
        <v>2</v>
      </c>
      <c r="G567">
        <v>1</v>
      </c>
      <c r="H567">
        <v>1</v>
      </c>
      <c r="J567">
        <f t="shared" si="8"/>
        <v>4</v>
      </c>
    </row>
    <row r="568" spans="1:10" hidden="1">
      <c r="A568">
        <v>265</v>
      </c>
      <c r="B568">
        <v>63</v>
      </c>
      <c r="E568">
        <v>2</v>
      </c>
      <c r="G568">
        <v>1</v>
      </c>
      <c r="I568">
        <v>1</v>
      </c>
      <c r="J568">
        <f t="shared" si="8"/>
        <v>4</v>
      </c>
    </row>
    <row r="569" spans="1:10" hidden="1">
      <c r="A569">
        <v>266</v>
      </c>
      <c r="B569">
        <v>63</v>
      </c>
      <c r="C569">
        <v>1</v>
      </c>
      <c r="D569">
        <v>1</v>
      </c>
      <c r="F569">
        <v>1</v>
      </c>
      <c r="I569">
        <v>1</v>
      </c>
      <c r="J569">
        <f t="shared" si="8"/>
        <v>4</v>
      </c>
    </row>
    <row r="570" spans="1:10" hidden="1">
      <c r="A570">
        <v>267</v>
      </c>
      <c r="B570">
        <v>63</v>
      </c>
      <c r="J570">
        <f t="shared" si="8"/>
        <v>0</v>
      </c>
    </row>
    <row r="571" spans="1:10" hidden="1">
      <c r="A571">
        <v>268</v>
      </c>
      <c r="B571">
        <v>63</v>
      </c>
      <c r="J571">
        <f t="shared" si="8"/>
        <v>0</v>
      </c>
    </row>
    <row r="572" spans="1:10" hidden="1">
      <c r="A572">
        <v>269</v>
      </c>
      <c r="B572">
        <v>63</v>
      </c>
      <c r="D572">
        <v>1</v>
      </c>
      <c r="G572">
        <v>2</v>
      </c>
      <c r="H572">
        <v>1</v>
      </c>
      <c r="J572">
        <f t="shared" si="8"/>
        <v>4</v>
      </c>
    </row>
    <row r="573" spans="1:10" hidden="1">
      <c r="A573">
        <v>270</v>
      </c>
      <c r="B573">
        <v>63</v>
      </c>
      <c r="D573">
        <v>1</v>
      </c>
      <c r="F573">
        <v>1</v>
      </c>
      <c r="G573">
        <v>1</v>
      </c>
      <c r="H573">
        <v>1</v>
      </c>
      <c r="J573">
        <f t="shared" si="8"/>
        <v>4</v>
      </c>
    </row>
    <row r="574" spans="1:10" hidden="1">
      <c r="A574">
        <v>271</v>
      </c>
      <c r="B574">
        <v>63</v>
      </c>
      <c r="J574">
        <f t="shared" si="8"/>
        <v>0</v>
      </c>
    </row>
    <row r="575" spans="1:10" hidden="1">
      <c r="A575">
        <v>272</v>
      </c>
      <c r="B575">
        <v>63</v>
      </c>
      <c r="C575">
        <v>1</v>
      </c>
      <c r="D575">
        <v>1</v>
      </c>
      <c r="H575">
        <v>2</v>
      </c>
      <c r="J575">
        <f t="shared" si="8"/>
        <v>4</v>
      </c>
    </row>
    <row r="576" spans="1:10" hidden="1">
      <c r="A576">
        <v>273</v>
      </c>
      <c r="B576">
        <v>63</v>
      </c>
      <c r="F576">
        <v>1</v>
      </c>
      <c r="G576">
        <v>1</v>
      </c>
      <c r="I576">
        <v>2</v>
      </c>
      <c r="J576">
        <f t="shared" si="8"/>
        <v>4</v>
      </c>
    </row>
    <row r="577" spans="1:10" hidden="1">
      <c r="A577">
        <v>274</v>
      </c>
      <c r="B577">
        <v>63</v>
      </c>
      <c r="E577">
        <v>1</v>
      </c>
      <c r="H577">
        <v>2</v>
      </c>
      <c r="I577">
        <v>1</v>
      </c>
      <c r="J577">
        <f t="shared" si="8"/>
        <v>4</v>
      </c>
    </row>
    <row r="578" spans="1:10" hidden="1">
      <c r="A578">
        <v>275</v>
      </c>
      <c r="B578">
        <v>63</v>
      </c>
      <c r="D578">
        <v>1</v>
      </c>
      <c r="F578">
        <v>1</v>
      </c>
      <c r="G578">
        <v>1</v>
      </c>
      <c r="H578">
        <v>1</v>
      </c>
      <c r="J578">
        <f t="shared" si="8"/>
        <v>4</v>
      </c>
    </row>
    <row r="579" spans="1:10" hidden="1">
      <c r="A579">
        <v>276</v>
      </c>
      <c r="B579">
        <v>63</v>
      </c>
      <c r="C579">
        <v>1</v>
      </c>
      <c r="D579">
        <v>1</v>
      </c>
      <c r="E579">
        <v>1</v>
      </c>
      <c r="G579">
        <v>1</v>
      </c>
      <c r="J579">
        <f t="shared" ref="J579:J642" si="9">SUM(C579:I579)</f>
        <v>4</v>
      </c>
    </row>
    <row r="580" spans="1:10" hidden="1">
      <c r="A580">
        <v>277</v>
      </c>
      <c r="B580">
        <v>63</v>
      </c>
      <c r="J580">
        <f t="shared" si="9"/>
        <v>0</v>
      </c>
    </row>
    <row r="581" spans="1:10" hidden="1">
      <c r="A581">
        <v>278</v>
      </c>
      <c r="B581">
        <v>63</v>
      </c>
      <c r="J581">
        <f t="shared" si="9"/>
        <v>0</v>
      </c>
    </row>
    <row r="582" spans="1:10" hidden="1">
      <c r="A582">
        <v>279</v>
      </c>
      <c r="B582">
        <v>63</v>
      </c>
      <c r="J582">
        <f t="shared" si="9"/>
        <v>0</v>
      </c>
    </row>
    <row r="583" spans="1:10" hidden="1">
      <c r="A583">
        <v>280</v>
      </c>
      <c r="B583">
        <v>63</v>
      </c>
      <c r="J583">
        <f t="shared" si="9"/>
        <v>0</v>
      </c>
    </row>
    <row r="584" spans="1:10" hidden="1">
      <c r="A584">
        <v>281</v>
      </c>
      <c r="B584">
        <v>63</v>
      </c>
      <c r="J584">
        <f t="shared" si="9"/>
        <v>0</v>
      </c>
    </row>
    <row r="585" spans="1:10" hidden="1">
      <c r="A585">
        <v>282</v>
      </c>
      <c r="B585">
        <v>63</v>
      </c>
      <c r="J585">
        <f t="shared" si="9"/>
        <v>0</v>
      </c>
    </row>
    <row r="586" spans="1:10" hidden="1">
      <c r="A586">
        <v>283</v>
      </c>
      <c r="B586">
        <v>63</v>
      </c>
      <c r="J586">
        <f t="shared" si="9"/>
        <v>0</v>
      </c>
    </row>
    <row r="587" spans="1:10" hidden="1">
      <c r="A587">
        <v>239</v>
      </c>
      <c r="B587">
        <v>62</v>
      </c>
      <c r="J587">
        <f t="shared" si="9"/>
        <v>0</v>
      </c>
    </row>
    <row r="588" spans="1:10" hidden="1">
      <c r="A588">
        <v>240</v>
      </c>
      <c r="B588">
        <v>62</v>
      </c>
      <c r="J588">
        <f t="shared" si="9"/>
        <v>0</v>
      </c>
    </row>
    <row r="589" spans="1:10" hidden="1">
      <c r="A589">
        <v>241</v>
      </c>
      <c r="B589">
        <v>62</v>
      </c>
      <c r="J589">
        <f t="shared" si="9"/>
        <v>0</v>
      </c>
    </row>
    <row r="590" spans="1:10" hidden="1">
      <c r="A590">
        <v>242</v>
      </c>
      <c r="B590">
        <v>62</v>
      </c>
      <c r="J590">
        <f t="shared" si="9"/>
        <v>0</v>
      </c>
    </row>
    <row r="591" spans="1:10" hidden="1">
      <c r="A591">
        <v>243</v>
      </c>
      <c r="B591">
        <v>62</v>
      </c>
      <c r="J591">
        <f t="shared" si="9"/>
        <v>0</v>
      </c>
    </row>
    <row r="592" spans="1:10" hidden="1">
      <c r="A592">
        <v>244</v>
      </c>
      <c r="B592">
        <v>62</v>
      </c>
      <c r="C592">
        <v>1</v>
      </c>
      <c r="D592">
        <v>1</v>
      </c>
      <c r="E592">
        <v>1</v>
      </c>
      <c r="F592">
        <v>1</v>
      </c>
      <c r="J592">
        <f t="shared" si="9"/>
        <v>4</v>
      </c>
    </row>
    <row r="593" spans="1:10" hidden="1">
      <c r="A593">
        <v>245</v>
      </c>
      <c r="B593">
        <v>62</v>
      </c>
      <c r="C593">
        <v>1</v>
      </c>
      <c r="D593">
        <v>1</v>
      </c>
      <c r="G593">
        <v>1</v>
      </c>
      <c r="H593">
        <v>1</v>
      </c>
      <c r="J593">
        <f t="shared" si="9"/>
        <v>4</v>
      </c>
    </row>
    <row r="594" spans="1:10" hidden="1">
      <c r="A594">
        <v>246</v>
      </c>
      <c r="B594">
        <v>62</v>
      </c>
      <c r="J594">
        <f t="shared" si="9"/>
        <v>0</v>
      </c>
    </row>
    <row r="595" spans="1:10" hidden="1">
      <c r="A595">
        <v>247</v>
      </c>
      <c r="B595">
        <v>62</v>
      </c>
      <c r="J595">
        <f t="shared" si="9"/>
        <v>0</v>
      </c>
    </row>
    <row r="596" spans="1:10" hidden="1">
      <c r="A596">
        <v>248</v>
      </c>
      <c r="B596">
        <v>62</v>
      </c>
      <c r="D596">
        <v>2</v>
      </c>
      <c r="F596">
        <v>1</v>
      </c>
      <c r="I596">
        <v>1</v>
      </c>
      <c r="J596">
        <f t="shared" si="9"/>
        <v>4</v>
      </c>
    </row>
    <row r="597" spans="1:10" hidden="1">
      <c r="A597">
        <v>249</v>
      </c>
      <c r="B597">
        <v>62</v>
      </c>
      <c r="J597">
        <f t="shared" si="9"/>
        <v>0</v>
      </c>
    </row>
    <row r="598" spans="1:10" hidden="1">
      <c r="A598">
        <v>250</v>
      </c>
      <c r="B598">
        <v>62</v>
      </c>
      <c r="J598">
        <f t="shared" si="9"/>
        <v>0</v>
      </c>
    </row>
    <row r="599" spans="1:10" hidden="1">
      <c r="A599">
        <v>251</v>
      </c>
      <c r="B599">
        <v>62</v>
      </c>
      <c r="J599">
        <f t="shared" si="9"/>
        <v>0</v>
      </c>
    </row>
    <row r="600" spans="1:10" hidden="1">
      <c r="A600">
        <v>252</v>
      </c>
      <c r="B600">
        <v>62</v>
      </c>
      <c r="D600">
        <v>1</v>
      </c>
      <c r="E600">
        <v>1</v>
      </c>
      <c r="I600">
        <v>2</v>
      </c>
      <c r="J600">
        <f t="shared" si="9"/>
        <v>4</v>
      </c>
    </row>
    <row r="601" spans="1:10" hidden="1">
      <c r="A601">
        <v>253</v>
      </c>
      <c r="B601">
        <v>62</v>
      </c>
      <c r="C601">
        <v>1</v>
      </c>
      <c r="D601">
        <v>1</v>
      </c>
      <c r="H601">
        <v>1</v>
      </c>
      <c r="I601">
        <v>1</v>
      </c>
      <c r="J601">
        <f t="shared" si="9"/>
        <v>4</v>
      </c>
    </row>
    <row r="602" spans="1:10" hidden="1">
      <c r="A602">
        <v>254</v>
      </c>
      <c r="B602">
        <v>62</v>
      </c>
      <c r="J602">
        <f t="shared" si="9"/>
        <v>0</v>
      </c>
    </row>
    <row r="603" spans="1:10" hidden="1">
      <c r="A603">
        <v>255</v>
      </c>
      <c r="B603">
        <v>62</v>
      </c>
      <c r="C603">
        <v>1</v>
      </c>
      <c r="D603">
        <v>1</v>
      </c>
      <c r="F603">
        <v>1</v>
      </c>
      <c r="H603">
        <v>1</v>
      </c>
      <c r="J603">
        <f t="shared" si="9"/>
        <v>4</v>
      </c>
    </row>
    <row r="604" spans="1:10" hidden="1">
      <c r="A604">
        <v>256</v>
      </c>
      <c r="B604">
        <v>62</v>
      </c>
      <c r="F604">
        <v>2</v>
      </c>
      <c r="H604">
        <v>1</v>
      </c>
      <c r="I604">
        <v>1</v>
      </c>
      <c r="J604">
        <f t="shared" si="9"/>
        <v>4</v>
      </c>
    </row>
    <row r="605" spans="1:10" hidden="1">
      <c r="A605">
        <v>257</v>
      </c>
      <c r="B605">
        <v>62</v>
      </c>
      <c r="J605">
        <f t="shared" si="9"/>
        <v>0</v>
      </c>
    </row>
    <row r="606" spans="1:10" hidden="1">
      <c r="A606">
        <v>258</v>
      </c>
      <c r="B606">
        <v>62</v>
      </c>
      <c r="C606">
        <v>1</v>
      </c>
      <c r="D606">
        <v>1</v>
      </c>
      <c r="F606">
        <v>1</v>
      </c>
      <c r="H606">
        <v>1</v>
      </c>
      <c r="J606">
        <f t="shared" si="9"/>
        <v>4</v>
      </c>
    </row>
    <row r="607" spans="1:10" hidden="1">
      <c r="A607">
        <v>259</v>
      </c>
      <c r="B607">
        <v>62</v>
      </c>
      <c r="C607">
        <v>1</v>
      </c>
      <c r="D607">
        <v>1</v>
      </c>
      <c r="E607">
        <v>1</v>
      </c>
      <c r="H607">
        <v>1</v>
      </c>
      <c r="J607">
        <f t="shared" si="9"/>
        <v>4</v>
      </c>
    </row>
    <row r="608" spans="1:10" hidden="1">
      <c r="A608">
        <v>260</v>
      </c>
      <c r="B608">
        <v>62</v>
      </c>
      <c r="D608">
        <v>2</v>
      </c>
      <c r="F608">
        <v>1</v>
      </c>
      <c r="G608">
        <v>1</v>
      </c>
      <c r="J608">
        <f t="shared" si="9"/>
        <v>4</v>
      </c>
    </row>
    <row r="609" spans="1:10" hidden="1">
      <c r="A609">
        <v>261</v>
      </c>
      <c r="B609">
        <v>62</v>
      </c>
      <c r="F609">
        <v>1</v>
      </c>
      <c r="G609">
        <v>1</v>
      </c>
      <c r="H609">
        <v>2</v>
      </c>
      <c r="J609">
        <f t="shared" si="9"/>
        <v>4</v>
      </c>
    </row>
    <row r="610" spans="1:10" hidden="1">
      <c r="A610">
        <v>262</v>
      </c>
      <c r="B610">
        <v>62</v>
      </c>
      <c r="D610">
        <v>1</v>
      </c>
      <c r="F610">
        <v>1</v>
      </c>
      <c r="G610">
        <v>2</v>
      </c>
      <c r="J610">
        <f t="shared" si="9"/>
        <v>4</v>
      </c>
    </row>
    <row r="611" spans="1:10">
      <c r="A611">
        <v>263</v>
      </c>
      <c r="B611">
        <v>62</v>
      </c>
      <c r="C611">
        <v>1</v>
      </c>
      <c r="E611">
        <v>1</v>
      </c>
      <c r="G611">
        <v>1</v>
      </c>
      <c r="I611">
        <v>1</v>
      </c>
      <c r="J611">
        <f t="shared" si="9"/>
        <v>4</v>
      </c>
    </row>
    <row r="612" spans="1:10" hidden="1">
      <c r="A612">
        <v>264</v>
      </c>
      <c r="B612">
        <v>62</v>
      </c>
      <c r="E612">
        <v>1</v>
      </c>
      <c r="F612">
        <v>1</v>
      </c>
      <c r="G612">
        <v>2</v>
      </c>
      <c r="J612">
        <f t="shared" si="9"/>
        <v>4</v>
      </c>
    </row>
    <row r="613" spans="1:10" hidden="1">
      <c r="A613">
        <v>265</v>
      </c>
      <c r="B613">
        <v>62</v>
      </c>
      <c r="C613">
        <v>1</v>
      </c>
      <c r="E613">
        <v>1</v>
      </c>
      <c r="H613">
        <v>1</v>
      </c>
      <c r="I613">
        <v>1</v>
      </c>
      <c r="J613">
        <f t="shared" si="9"/>
        <v>4</v>
      </c>
    </row>
    <row r="614" spans="1:10" hidden="1">
      <c r="A614">
        <v>266</v>
      </c>
      <c r="B614">
        <v>62</v>
      </c>
      <c r="D614">
        <v>1</v>
      </c>
      <c r="F614">
        <v>1</v>
      </c>
      <c r="H614">
        <v>1</v>
      </c>
      <c r="I614">
        <v>1</v>
      </c>
      <c r="J614">
        <f t="shared" si="9"/>
        <v>4</v>
      </c>
    </row>
    <row r="615" spans="1:10" hidden="1">
      <c r="A615">
        <v>267</v>
      </c>
      <c r="B615">
        <v>62</v>
      </c>
      <c r="D615">
        <v>1</v>
      </c>
      <c r="F615">
        <v>1</v>
      </c>
      <c r="H615">
        <v>2</v>
      </c>
      <c r="J615">
        <f t="shared" si="9"/>
        <v>4</v>
      </c>
    </row>
    <row r="616" spans="1:10" hidden="1">
      <c r="A616">
        <v>268</v>
      </c>
      <c r="B616">
        <v>62</v>
      </c>
      <c r="E616">
        <v>1</v>
      </c>
      <c r="F616">
        <v>2</v>
      </c>
      <c r="H616">
        <v>1</v>
      </c>
      <c r="J616">
        <f t="shared" si="9"/>
        <v>4</v>
      </c>
    </row>
    <row r="617" spans="1:10" hidden="1">
      <c r="A617">
        <v>269</v>
      </c>
      <c r="B617">
        <v>62</v>
      </c>
      <c r="C617">
        <v>1</v>
      </c>
      <c r="E617">
        <v>1</v>
      </c>
      <c r="H617">
        <v>1</v>
      </c>
      <c r="I617">
        <v>1</v>
      </c>
      <c r="J617">
        <f t="shared" si="9"/>
        <v>4</v>
      </c>
    </row>
    <row r="618" spans="1:10" hidden="1">
      <c r="A618">
        <v>270</v>
      </c>
      <c r="B618">
        <v>62</v>
      </c>
      <c r="D618">
        <v>1</v>
      </c>
      <c r="G618">
        <v>2</v>
      </c>
      <c r="H618">
        <v>1</v>
      </c>
      <c r="J618">
        <f t="shared" si="9"/>
        <v>4</v>
      </c>
    </row>
    <row r="619" spans="1:10" hidden="1">
      <c r="A619">
        <v>271</v>
      </c>
      <c r="B619">
        <v>62</v>
      </c>
      <c r="D619">
        <v>1</v>
      </c>
      <c r="E619">
        <v>1</v>
      </c>
      <c r="G619">
        <v>1</v>
      </c>
      <c r="I619">
        <v>1</v>
      </c>
      <c r="J619">
        <f t="shared" si="9"/>
        <v>4</v>
      </c>
    </row>
    <row r="620" spans="1:10" hidden="1">
      <c r="A620">
        <v>272</v>
      </c>
      <c r="B620">
        <v>62</v>
      </c>
      <c r="E620">
        <v>1</v>
      </c>
      <c r="G620">
        <v>1</v>
      </c>
      <c r="H620">
        <v>1</v>
      </c>
      <c r="I620">
        <v>1</v>
      </c>
      <c r="J620">
        <f t="shared" si="9"/>
        <v>4</v>
      </c>
    </row>
    <row r="621" spans="1:10" hidden="1">
      <c r="A621">
        <v>273</v>
      </c>
      <c r="B621">
        <v>62</v>
      </c>
      <c r="D621">
        <v>1</v>
      </c>
      <c r="G621">
        <v>1</v>
      </c>
      <c r="H621">
        <v>1</v>
      </c>
      <c r="I621">
        <v>1</v>
      </c>
      <c r="J621">
        <f t="shared" si="9"/>
        <v>4</v>
      </c>
    </row>
    <row r="622" spans="1:10" hidden="1">
      <c r="A622">
        <v>274</v>
      </c>
      <c r="B622">
        <v>62</v>
      </c>
      <c r="D622">
        <v>1</v>
      </c>
      <c r="E622">
        <v>1</v>
      </c>
      <c r="F622">
        <v>1</v>
      </c>
      <c r="H622">
        <v>1</v>
      </c>
      <c r="J622">
        <f t="shared" si="9"/>
        <v>4</v>
      </c>
    </row>
    <row r="623" spans="1:10" hidden="1">
      <c r="A623">
        <v>275</v>
      </c>
      <c r="B623">
        <v>62</v>
      </c>
      <c r="D623">
        <v>1</v>
      </c>
      <c r="G623">
        <v>1</v>
      </c>
      <c r="H623">
        <v>1</v>
      </c>
      <c r="I623">
        <v>1</v>
      </c>
      <c r="J623">
        <f t="shared" si="9"/>
        <v>4</v>
      </c>
    </row>
    <row r="624" spans="1:10" hidden="1">
      <c r="A624">
        <v>276</v>
      </c>
      <c r="B624">
        <v>62</v>
      </c>
      <c r="F624">
        <v>2</v>
      </c>
      <c r="G624">
        <v>1</v>
      </c>
      <c r="H624">
        <v>1</v>
      </c>
      <c r="J624">
        <f t="shared" si="9"/>
        <v>4</v>
      </c>
    </row>
    <row r="625" spans="1:10" hidden="1">
      <c r="A625">
        <v>277</v>
      </c>
      <c r="B625">
        <v>62</v>
      </c>
      <c r="J625">
        <f t="shared" si="9"/>
        <v>0</v>
      </c>
    </row>
    <row r="626" spans="1:10" hidden="1">
      <c r="A626">
        <v>278</v>
      </c>
      <c r="B626">
        <v>62</v>
      </c>
      <c r="J626">
        <f t="shared" si="9"/>
        <v>0</v>
      </c>
    </row>
    <row r="627" spans="1:10" hidden="1">
      <c r="A627">
        <v>279</v>
      </c>
      <c r="B627">
        <v>62</v>
      </c>
      <c r="J627">
        <f t="shared" si="9"/>
        <v>0</v>
      </c>
    </row>
    <row r="628" spans="1:10" hidden="1">
      <c r="A628">
        <v>280</v>
      </c>
      <c r="B628">
        <v>62</v>
      </c>
      <c r="J628">
        <f t="shared" si="9"/>
        <v>0</v>
      </c>
    </row>
    <row r="629" spans="1:10" hidden="1">
      <c r="A629">
        <v>281</v>
      </c>
      <c r="B629">
        <v>62</v>
      </c>
      <c r="J629">
        <f t="shared" si="9"/>
        <v>0</v>
      </c>
    </row>
    <row r="630" spans="1:10" hidden="1">
      <c r="A630">
        <v>282</v>
      </c>
      <c r="B630">
        <v>62</v>
      </c>
      <c r="J630">
        <f t="shared" si="9"/>
        <v>0</v>
      </c>
    </row>
    <row r="631" spans="1:10" hidden="1">
      <c r="A631">
        <v>283</v>
      </c>
      <c r="B631">
        <v>62</v>
      </c>
      <c r="J631">
        <f t="shared" si="9"/>
        <v>0</v>
      </c>
    </row>
    <row r="632" spans="1:10" hidden="1">
      <c r="A632">
        <v>239</v>
      </c>
      <c r="B632">
        <v>61</v>
      </c>
      <c r="J632">
        <f t="shared" si="9"/>
        <v>0</v>
      </c>
    </row>
    <row r="633" spans="1:10" hidden="1">
      <c r="A633">
        <v>240</v>
      </c>
      <c r="B633">
        <v>61</v>
      </c>
      <c r="J633">
        <f t="shared" si="9"/>
        <v>0</v>
      </c>
    </row>
    <row r="634" spans="1:10" hidden="1">
      <c r="A634">
        <v>241</v>
      </c>
      <c r="B634">
        <v>61</v>
      </c>
      <c r="J634">
        <f t="shared" si="9"/>
        <v>0</v>
      </c>
    </row>
    <row r="635" spans="1:10" hidden="1">
      <c r="A635">
        <v>242</v>
      </c>
      <c r="B635">
        <v>61</v>
      </c>
      <c r="J635">
        <f t="shared" si="9"/>
        <v>0</v>
      </c>
    </row>
    <row r="636" spans="1:10" hidden="1">
      <c r="A636">
        <v>243</v>
      </c>
      <c r="B636">
        <v>61</v>
      </c>
      <c r="J636">
        <f t="shared" si="9"/>
        <v>0</v>
      </c>
    </row>
    <row r="637" spans="1:10" hidden="1">
      <c r="A637">
        <v>244</v>
      </c>
      <c r="B637">
        <v>61</v>
      </c>
      <c r="J637">
        <f t="shared" si="9"/>
        <v>0</v>
      </c>
    </row>
    <row r="638" spans="1:10" hidden="1">
      <c r="A638">
        <v>245</v>
      </c>
      <c r="B638">
        <v>61</v>
      </c>
      <c r="C638">
        <v>1</v>
      </c>
      <c r="E638">
        <v>1</v>
      </c>
      <c r="F638">
        <v>1</v>
      </c>
      <c r="H638">
        <v>1</v>
      </c>
      <c r="J638">
        <f t="shared" si="9"/>
        <v>4</v>
      </c>
    </row>
    <row r="639" spans="1:10" hidden="1">
      <c r="A639">
        <v>246</v>
      </c>
      <c r="B639">
        <v>61</v>
      </c>
      <c r="C639">
        <v>1</v>
      </c>
      <c r="F639">
        <v>1</v>
      </c>
      <c r="H639">
        <v>1</v>
      </c>
      <c r="I639">
        <v>1</v>
      </c>
      <c r="J639">
        <f t="shared" si="9"/>
        <v>4</v>
      </c>
    </row>
    <row r="640" spans="1:10" hidden="1">
      <c r="A640">
        <v>247</v>
      </c>
      <c r="B640">
        <v>61</v>
      </c>
      <c r="J640">
        <f t="shared" si="9"/>
        <v>0</v>
      </c>
    </row>
    <row r="641" spans="1:10" hidden="1">
      <c r="A641">
        <v>248</v>
      </c>
      <c r="B641">
        <v>61</v>
      </c>
      <c r="J641">
        <f t="shared" si="9"/>
        <v>0</v>
      </c>
    </row>
    <row r="642" spans="1:10" hidden="1">
      <c r="A642">
        <v>249</v>
      </c>
      <c r="B642">
        <v>61</v>
      </c>
      <c r="J642">
        <f t="shared" si="9"/>
        <v>0</v>
      </c>
    </row>
    <row r="643" spans="1:10" hidden="1">
      <c r="A643">
        <v>250</v>
      </c>
      <c r="B643">
        <v>61</v>
      </c>
      <c r="J643">
        <f t="shared" ref="J643:J706" si="10">SUM(C643:I643)</f>
        <v>0</v>
      </c>
    </row>
    <row r="644" spans="1:10" hidden="1">
      <c r="A644">
        <v>251</v>
      </c>
      <c r="B644">
        <v>61</v>
      </c>
      <c r="J644">
        <f t="shared" si="10"/>
        <v>0</v>
      </c>
    </row>
    <row r="645" spans="1:10" hidden="1">
      <c r="A645">
        <v>252</v>
      </c>
      <c r="B645">
        <v>61</v>
      </c>
      <c r="E645">
        <v>1</v>
      </c>
      <c r="F645">
        <v>1</v>
      </c>
      <c r="H645">
        <v>1</v>
      </c>
      <c r="I645">
        <v>1</v>
      </c>
      <c r="J645">
        <f t="shared" si="10"/>
        <v>4</v>
      </c>
    </row>
    <row r="646" spans="1:10" hidden="1">
      <c r="A646">
        <v>253</v>
      </c>
      <c r="B646">
        <v>61</v>
      </c>
      <c r="D646">
        <v>1</v>
      </c>
      <c r="F646">
        <v>1</v>
      </c>
      <c r="G646">
        <v>1</v>
      </c>
      <c r="I646">
        <v>1</v>
      </c>
      <c r="J646">
        <f t="shared" si="10"/>
        <v>4</v>
      </c>
    </row>
    <row r="647" spans="1:10" hidden="1">
      <c r="A647">
        <v>254</v>
      </c>
      <c r="B647">
        <v>61</v>
      </c>
      <c r="J647">
        <f t="shared" si="10"/>
        <v>0</v>
      </c>
    </row>
    <row r="648" spans="1:10" hidden="1">
      <c r="A648">
        <v>255</v>
      </c>
      <c r="B648">
        <v>61</v>
      </c>
      <c r="C648">
        <v>1</v>
      </c>
      <c r="F648">
        <v>1</v>
      </c>
      <c r="H648">
        <v>1</v>
      </c>
      <c r="I648">
        <v>1</v>
      </c>
      <c r="J648">
        <f t="shared" si="10"/>
        <v>4</v>
      </c>
    </row>
    <row r="649" spans="1:10" hidden="1">
      <c r="A649">
        <v>256</v>
      </c>
      <c r="B649">
        <v>61</v>
      </c>
      <c r="C649">
        <v>1</v>
      </c>
      <c r="D649">
        <v>1</v>
      </c>
      <c r="F649">
        <v>2</v>
      </c>
      <c r="J649">
        <f t="shared" si="10"/>
        <v>4</v>
      </c>
    </row>
    <row r="650" spans="1:10" hidden="1">
      <c r="A650">
        <v>257</v>
      </c>
      <c r="B650">
        <v>61</v>
      </c>
      <c r="C650">
        <v>1</v>
      </c>
      <c r="D650">
        <v>1</v>
      </c>
      <c r="F650">
        <v>2</v>
      </c>
      <c r="J650">
        <f t="shared" si="10"/>
        <v>4</v>
      </c>
    </row>
    <row r="651" spans="1:10" hidden="1">
      <c r="A651">
        <v>258</v>
      </c>
      <c r="B651">
        <v>61</v>
      </c>
      <c r="C651">
        <v>1</v>
      </c>
      <c r="E651">
        <v>1</v>
      </c>
      <c r="F651">
        <v>1</v>
      </c>
      <c r="H651">
        <v>1</v>
      </c>
      <c r="J651">
        <f t="shared" si="10"/>
        <v>4</v>
      </c>
    </row>
    <row r="652" spans="1:10" hidden="1">
      <c r="A652">
        <v>259</v>
      </c>
      <c r="B652">
        <v>61</v>
      </c>
      <c r="C652">
        <v>1</v>
      </c>
      <c r="D652">
        <v>1</v>
      </c>
      <c r="E652">
        <v>1</v>
      </c>
      <c r="H652">
        <v>1</v>
      </c>
      <c r="J652">
        <f t="shared" si="10"/>
        <v>4</v>
      </c>
    </row>
    <row r="653" spans="1:10" hidden="1">
      <c r="A653">
        <v>260</v>
      </c>
      <c r="B653">
        <v>61</v>
      </c>
      <c r="D653">
        <v>1</v>
      </c>
      <c r="E653">
        <v>1</v>
      </c>
      <c r="H653">
        <v>1</v>
      </c>
      <c r="I653">
        <v>1</v>
      </c>
      <c r="J653">
        <f t="shared" si="10"/>
        <v>4</v>
      </c>
    </row>
    <row r="654" spans="1:10" hidden="1">
      <c r="A654">
        <v>261</v>
      </c>
      <c r="B654">
        <v>61</v>
      </c>
      <c r="C654">
        <v>1</v>
      </c>
      <c r="D654">
        <v>1</v>
      </c>
      <c r="G654">
        <v>1</v>
      </c>
      <c r="H654">
        <v>1</v>
      </c>
      <c r="J654">
        <f t="shared" si="10"/>
        <v>4</v>
      </c>
    </row>
    <row r="655" spans="1:10" hidden="1">
      <c r="A655">
        <v>262</v>
      </c>
      <c r="B655">
        <v>61</v>
      </c>
      <c r="C655">
        <v>1</v>
      </c>
      <c r="D655">
        <v>1</v>
      </c>
      <c r="E655">
        <v>1</v>
      </c>
      <c r="I655">
        <v>1</v>
      </c>
      <c r="J655">
        <f t="shared" si="10"/>
        <v>4</v>
      </c>
    </row>
    <row r="656" spans="1:10" hidden="1">
      <c r="A656">
        <v>263</v>
      </c>
      <c r="B656">
        <v>61</v>
      </c>
      <c r="J656">
        <f t="shared" si="10"/>
        <v>0</v>
      </c>
    </row>
    <row r="657" spans="1:10" hidden="1">
      <c r="A657">
        <v>264</v>
      </c>
      <c r="B657">
        <v>61</v>
      </c>
      <c r="J657">
        <f t="shared" si="10"/>
        <v>0</v>
      </c>
    </row>
    <row r="658" spans="1:10" hidden="1">
      <c r="A658">
        <v>265</v>
      </c>
      <c r="B658">
        <v>61</v>
      </c>
      <c r="D658">
        <v>1</v>
      </c>
      <c r="F658">
        <v>2</v>
      </c>
      <c r="H658">
        <v>1</v>
      </c>
      <c r="J658">
        <f t="shared" si="10"/>
        <v>4</v>
      </c>
    </row>
    <row r="659" spans="1:10" hidden="1">
      <c r="A659">
        <v>266</v>
      </c>
      <c r="B659">
        <v>61</v>
      </c>
      <c r="D659">
        <v>1</v>
      </c>
      <c r="E659">
        <v>1</v>
      </c>
      <c r="F659">
        <v>1</v>
      </c>
      <c r="H659">
        <v>1</v>
      </c>
      <c r="J659">
        <f t="shared" si="10"/>
        <v>4</v>
      </c>
    </row>
    <row r="660" spans="1:10" hidden="1">
      <c r="A660">
        <v>267</v>
      </c>
      <c r="B660">
        <v>61</v>
      </c>
      <c r="D660">
        <v>1</v>
      </c>
      <c r="E660">
        <v>1</v>
      </c>
      <c r="F660">
        <v>1</v>
      </c>
      <c r="H660">
        <v>1</v>
      </c>
      <c r="J660">
        <f t="shared" si="10"/>
        <v>4</v>
      </c>
    </row>
    <row r="661" spans="1:10" hidden="1">
      <c r="A661">
        <v>268</v>
      </c>
      <c r="B661">
        <v>61</v>
      </c>
      <c r="J661">
        <f t="shared" si="10"/>
        <v>0</v>
      </c>
    </row>
    <row r="662" spans="1:10" hidden="1">
      <c r="A662">
        <v>269</v>
      </c>
      <c r="B662">
        <v>61</v>
      </c>
      <c r="E662">
        <v>2</v>
      </c>
      <c r="F662">
        <v>1</v>
      </c>
      <c r="G662">
        <v>1</v>
      </c>
      <c r="J662">
        <f t="shared" si="10"/>
        <v>4</v>
      </c>
    </row>
    <row r="663" spans="1:10" hidden="1">
      <c r="A663">
        <v>270</v>
      </c>
      <c r="B663">
        <v>61</v>
      </c>
      <c r="C663">
        <v>1</v>
      </c>
      <c r="D663">
        <v>1</v>
      </c>
      <c r="G663">
        <v>1</v>
      </c>
      <c r="H663">
        <v>1</v>
      </c>
      <c r="J663">
        <f t="shared" si="10"/>
        <v>4</v>
      </c>
    </row>
    <row r="664" spans="1:10" hidden="1">
      <c r="A664">
        <v>271</v>
      </c>
      <c r="B664">
        <v>61</v>
      </c>
      <c r="C664">
        <v>1</v>
      </c>
      <c r="H664">
        <v>1</v>
      </c>
      <c r="I664">
        <v>2</v>
      </c>
      <c r="J664">
        <f t="shared" si="10"/>
        <v>4</v>
      </c>
    </row>
    <row r="665" spans="1:10" hidden="1">
      <c r="A665">
        <v>272</v>
      </c>
      <c r="B665">
        <v>61</v>
      </c>
      <c r="C665">
        <v>1</v>
      </c>
      <c r="E665">
        <v>1</v>
      </c>
      <c r="H665">
        <v>1</v>
      </c>
      <c r="I665">
        <v>1</v>
      </c>
      <c r="J665">
        <f t="shared" si="10"/>
        <v>4</v>
      </c>
    </row>
    <row r="666" spans="1:10" hidden="1">
      <c r="A666">
        <v>273</v>
      </c>
      <c r="B666">
        <v>61</v>
      </c>
      <c r="C666">
        <v>1</v>
      </c>
      <c r="E666">
        <v>1</v>
      </c>
      <c r="F666">
        <v>1</v>
      </c>
      <c r="G666">
        <v>1</v>
      </c>
      <c r="J666">
        <f t="shared" si="10"/>
        <v>4</v>
      </c>
    </row>
    <row r="667" spans="1:10" hidden="1">
      <c r="A667">
        <v>274</v>
      </c>
      <c r="B667">
        <v>61</v>
      </c>
      <c r="C667">
        <v>1</v>
      </c>
      <c r="E667">
        <v>1</v>
      </c>
      <c r="H667">
        <v>1</v>
      </c>
      <c r="I667">
        <v>1</v>
      </c>
      <c r="J667">
        <f t="shared" si="10"/>
        <v>4</v>
      </c>
    </row>
    <row r="668" spans="1:10">
      <c r="A668">
        <v>275</v>
      </c>
      <c r="B668">
        <v>61</v>
      </c>
      <c r="C668">
        <v>1</v>
      </c>
      <c r="E668">
        <v>1</v>
      </c>
      <c r="G668">
        <v>1</v>
      </c>
      <c r="I668">
        <v>1</v>
      </c>
      <c r="J668">
        <f t="shared" si="10"/>
        <v>4</v>
      </c>
    </row>
    <row r="669" spans="1:10" hidden="1">
      <c r="A669">
        <v>276</v>
      </c>
      <c r="B669">
        <v>61</v>
      </c>
      <c r="J669">
        <f t="shared" si="10"/>
        <v>0</v>
      </c>
    </row>
    <row r="670" spans="1:10" hidden="1">
      <c r="A670">
        <v>277</v>
      </c>
      <c r="B670">
        <v>61</v>
      </c>
      <c r="J670">
        <f t="shared" si="10"/>
        <v>0</v>
      </c>
    </row>
    <row r="671" spans="1:10" hidden="1">
      <c r="A671">
        <v>278</v>
      </c>
      <c r="B671">
        <v>61</v>
      </c>
      <c r="J671">
        <f t="shared" si="10"/>
        <v>0</v>
      </c>
    </row>
    <row r="672" spans="1:10" hidden="1">
      <c r="A672">
        <v>279</v>
      </c>
      <c r="B672">
        <v>61</v>
      </c>
      <c r="J672">
        <f t="shared" si="10"/>
        <v>0</v>
      </c>
    </row>
    <row r="673" spans="1:10" hidden="1">
      <c r="A673">
        <v>280</v>
      </c>
      <c r="B673">
        <v>61</v>
      </c>
      <c r="J673">
        <f t="shared" si="10"/>
        <v>0</v>
      </c>
    </row>
    <row r="674" spans="1:10" hidden="1">
      <c r="A674">
        <v>281</v>
      </c>
      <c r="B674">
        <v>61</v>
      </c>
      <c r="J674">
        <f t="shared" si="10"/>
        <v>0</v>
      </c>
    </row>
    <row r="675" spans="1:10" hidden="1">
      <c r="A675">
        <v>282</v>
      </c>
      <c r="B675">
        <v>61</v>
      </c>
      <c r="J675">
        <f t="shared" si="10"/>
        <v>0</v>
      </c>
    </row>
    <row r="676" spans="1:10" hidden="1">
      <c r="A676">
        <v>283</v>
      </c>
      <c r="B676">
        <v>61</v>
      </c>
      <c r="J676">
        <f t="shared" si="10"/>
        <v>0</v>
      </c>
    </row>
    <row r="677" spans="1:10" hidden="1">
      <c r="A677">
        <v>239</v>
      </c>
      <c r="B677">
        <v>60</v>
      </c>
      <c r="J677">
        <f t="shared" si="10"/>
        <v>0</v>
      </c>
    </row>
    <row r="678" spans="1:10" hidden="1">
      <c r="A678">
        <v>240</v>
      </c>
      <c r="B678">
        <v>60</v>
      </c>
      <c r="J678">
        <f t="shared" si="10"/>
        <v>0</v>
      </c>
    </row>
    <row r="679" spans="1:10" hidden="1">
      <c r="A679">
        <v>241</v>
      </c>
      <c r="B679">
        <v>60</v>
      </c>
      <c r="J679">
        <f t="shared" si="10"/>
        <v>0</v>
      </c>
    </row>
    <row r="680" spans="1:10" hidden="1">
      <c r="A680">
        <v>242</v>
      </c>
      <c r="B680">
        <v>60</v>
      </c>
      <c r="J680">
        <f t="shared" si="10"/>
        <v>0</v>
      </c>
    </row>
    <row r="681" spans="1:10" hidden="1">
      <c r="A681">
        <v>243</v>
      </c>
      <c r="B681">
        <v>60</v>
      </c>
      <c r="J681">
        <f t="shared" si="10"/>
        <v>0</v>
      </c>
    </row>
    <row r="682" spans="1:10" hidden="1">
      <c r="A682">
        <v>244</v>
      </c>
      <c r="B682">
        <v>60</v>
      </c>
      <c r="J682">
        <f t="shared" si="10"/>
        <v>0</v>
      </c>
    </row>
    <row r="683" spans="1:10" hidden="1">
      <c r="A683">
        <v>245</v>
      </c>
      <c r="B683">
        <v>60</v>
      </c>
      <c r="J683">
        <f t="shared" si="10"/>
        <v>0</v>
      </c>
    </row>
    <row r="684" spans="1:10" hidden="1">
      <c r="A684">
        <v>246</v>
      </c>
      <c r="B684">
        <v>60</v>
      </c>
      <c r="J684">
        <f t="shared" si="10"/>
        <v>0</v>
      </c>
    </row>
    <row r="685" spans="1:10" hidden="1">
      <c r="A685">
        <v>247</v>
      </c>
      <c r="B685">
        <v>60</v>
      </c>
      <c r="J685">
        <f t="shared" si="10"/>
        <v>0</v>
      </c>
    </row>
    <row r="686" spans="1:10" hidden="1">
      <c r="A686">
        <v>248</v>
      </c>
      <c r="B686">
        <v>60</v>
      </c>
      <c r="J686">
        <f t="shared" si="10"/>
        <v>0</v>
      </c>
    </row>
    <row r="687" spans="1:10" hidden="1">
      <c r="A687">
        <v>249</v>
      </c>
      <c r="B687">
        <v>60</v>
      </c>
      <c r="J687">
        <f t="shared" si="10"/>
        <v>0</v>
      </c>
    </row>
    <row r="688" spans="1:10" hidden="1">
      <c r="A688">
        <v>250</v>
      </c>
      <c r="B688">
        <v>60</v>
      </c>
      <c r="J688">
        <f t="shared" si="10"/>
        <v>0</v>
      </c>
    </row>
    <row r="689" spans="1:10" hidden="1">
      <c r="A689">
        <v>251</v>
      </c>
      <c r="B689">
        <v>60</v>
      </c>
      <c r="D689">
        <v>2</v>
      </c>
      <c r="G689">
        <v>1</v>
      </c>
      <c r="H689">
        <v>1</v>
      </c>
      <c r="J689">
        <f t="shared" si="10"/>
        <v>4</v>
      </c>
    </row>
    <row r="690" spans="1:10" hidden="1">
      <c r="A690">
        <v>252</v>
      </c>
      <c r="B690">
        <v>60</v>
      </c>
      <c r="D690">
        <v>1</v>
      </c>
      <c r="F690">
        <v>1</v>
      </c>
      <c r="G690">
        <v>1</v>
      </c>
      <c r="I690">
        <v>1</v>
      </c>
      <c r="J690">
        <f t="shared" si="10"/>
        <v>4</v>
      </c>
    </row>
    <row r="691" spans="1:10" hidden="1">
      <c r="A691">
        <v>253</v>
      </c>
      <c r="B691">
        <v>60</v>
      </c>
      <c r="J691">
        <f t="shared" si="10"/>
        <v>0</v>
      </c>
    </row>
    <row r="692" spans="1:10" hidden="1">
      <c r="A692">
        <v>254</v>
      </c>
      <c r="B692">
        <v>60</v>
      </c>
      <c r="F692">
        <v>2</v>
      </c>
      <c r="G692">
        <v>1</v>
      </c>
      <c r="I692">
        <v>1</v>
      </c>
      <c r="J692">
        <f t="shared" si="10"/>
        <v>4</v>
      </c>
    </row>
    <row r="693" spans="1:10" hidden="1">
      <c r="A693">
        <v>255</v>
      </c>
      <c r="B693">
        <v>60</v>
      </c>
      <c r="C693">
        <v>1</v>
      </c>
      <c r="D693">
        <v>1</v>
      </c>
      <c r="H693">
        <v>1</v>
      </c>
      <c r="I693">
        <v>1</v>
      </c>
      <c r="J693">
        <f t="shared" si="10"/>
        <v>4</v>
      </c>
    </row>
    <row r="694" spans="1:10" hidden="1">
      <c r="A694">
        <v>256</v>
      </c>
      <c r="B694">
        <v>60</v>
      </c>
      <c r="J694">
        <f t="shared" si="10"/>
        <v>0</v>
      </c>
    </row>
    <row r="695" spans="1:10" hidden="1">
      <c r="A695">
        <v>257</v>
      </c>
      <c r="B695">
        <v>60</v>
      </c>
      <c r="D695">
        <v>1</v>
      </c>
      <c r="E695">
        <v>1</v>
      </c>
      <c r="F695">
        <v>1</v>
      </c>
      <c r="H695">
        <v>1</v>
      </c>
      <c r="J695">
        <f t="shared" si="10"/>
        <v>4</v>
      </c>
    </row>
    <row r="696" spans="1:10" hidden="1">
      <c r="A696">
        <v>258</v>
      </c>
      <c r="B696">
        <v>60</v>
      </c>
      <c r="J696">
        <f t="shared" si="10"/>
        <v>0</v>
      </c>
    </row>
    <row r="697" spans="1:10" hidden="1">
      <c r="A697">
        <v>259</v>
      </c>
      <c r="B697">
        <v>60</v>
      </c>
      <c r="D697">
        <v>1</v>
      </c>
      <c r="E697">
        <v>1</v>
      </c>
      <c r="F697">
        <v>1</v>
      </c>
      <c r="G697">
        <v>1</v>
      </c>
      <c r="J697">
        <f t="shared" si="10"/>
        <v>4</v>
      </c>
    </row>
    <row r="698" spans="1:10" hidden="1">
      <c r="A698">
        <v>260</v>
      </c>
      <c r="B698">
        <v>60</v>
      </c>
      <c r="J698">
        <f t="shared" si="10"/>
        <v>0</v>
      </c>
    </row>
    <row r="699" spans="1:10" hidden="1">
      <c r="A699">
        <v>261</v>
      </c>
      <c r="B699">
        <v>60</v>
      </c>
      <c r="D699">
        <v>1</v>
      </c>
      <c r="E699">
        <v>1</v>
      </c>
      <c r="H699">
        <v>1</v>
      </c>
      <c r="I699">
        <v>1</v>
      </c>
      <c r="J699">
        <f t="shared" si="10"/>
        <v>4</v>
      </c>
    </row>
    <row r="700" spans="1:10" hidden="1">
      <c r="A700">
        <v>262</v>
      </c>
      <c r="B700">
        <v>60</v>
      </c>
      <c r="C700">
        <v>1</v>
      </c>
      <c r="E700">
        <v>1</v>
      </c>
      <c r="F700">
        <v>1</v>
      </c>
      <c r="G700">
        <v>1</v>
      </c>
      <c r="J700">
        <f t="shared" si="10"/>
        <v>4</v>
      </c>
    </row>
    <row r="701" spans="1:10" hidden="1">
      <c r="A701">
        <v>263</v>
      </c>
      <c r="B701">
        <v>60</v>
      </c>
      <c r="C701">
        <v>1</v>
      </c>
      <c r="G701">
        <v>1</v>
      </c>
      <c r="H701">
        <v>1</v>
      </c>
      <c r="I701">
        <v>1</v>
      </c>
      <c r="J701">
        <f t="shared" si="10"/>
        <v>4</v>
      </c>
    </row>
    <row r="702" spans="1:10" hidden="1">
      <c r="A702">
        <v>264</v>
      </c>
      <c r="B702">
        <v>60</v>
      </c>
      <c r="D702">
        <v>1</v>
      </c>
      <c r="F702">
        <v>2</v>
      </c>
      <c r="G702">
        <v>1</v>
      </c>
      <c r="J702">
        <f t="shared" si="10"/>
        <v>4</v>
      </c>
    </row>
    <row r="703" spans="1:10" hidden="1">
      <c r="A703">
        <v>265</v>
      </c>
      <c r="B703">
        <v>60</v>
      </c>
      <c r="D703">
        <v>1</v>
      </c>
      <c r="E703">
        <v>1</v>
      </c>
      <c r="F703">
        <v>1</v>
      </c>
      <c r="H703">
        <v>1</v>
      </c>
      <c r="J703">
        <f t="shared" si="10"/>
        <v>4</v>
      </c>
    </row>
    <row r="704" spans="1:10" hidden="1">
      <c r="A704">
        <v>266</v>
      </c>
      <c r="B704">
        <v>60</v>
      </c>
      <c r="D704">
        <v>1</v>
      </c>
      <c r="E704">
        <v>1</v>
      </c>
      <c r="G704">
        <v>1</v>
      </c>
      <c r="I704">
        <v>1</v>
      </c>
      <c r="J704">
        <f t="shared" si="10"/>
        <v>4</v>
      </c>
    </row>
    <row r="705" spans="1:10" hidden="1">
      <c r="A705">
        <v>267</v>
      </c>
      <c r="B705">
        <v>60</v>
      </c>
      <c r="J705">
        <f t="shared" si="10"/>
        <v>0</v>
      </c>
    </row>
    <row r="706" spans="1:10" hidden="1">
      <c r="A706">
        <v>268</v>
      </c>
      <c r="B706">
        <v>60</v>
      </c>
      <c r="E706">
        <v>1</v>
      </c>
      <c r="F706">
        <v>1</v>
      </c>
      <c r="G706">
        <v>1</v>
      </c>
      <c r="H706">
        <v>1</v>
      </c>
      <c r="J706">
        <f t="shared" si="10"/>
        <v>4</v>
      </c>
    </row>
    <row r="707" spans="1:10" hidden="1">
      <c r="A707">
        <v>269</v>
      </c>
      <c r="B707">
        <v>60</v>
      </c>
      <c r="J707">
        <f t="shared" ref="J707:J770" si="11">SUM(C707:I707)</f>
        <v>0</v>
      </c>
    </row>
    <row r="708" spans="1:10" hidden="1">
      <c r="A708">
        <v>270</v>
      </c>
      <c r="B708">
        <v>60</v>
      </c>
      <c r="J708">
        <f t="shared" si="11"/>
        <v>0</v>
      </c>
    </row>
    <row r="709" spans="1:10" hidden="1">
      <c r="A709">
        <v>271</v>
      </c>
      <c r="B709">
        <v>60</v>
      </c>
      <c r="D709">
        <v>1</v>
      </c>
      <c r="E709">
        <v>1</v>
      </c>
      <c r="F709">
        <v>1</v>
      </c>
      <c r="H709">
        <v>1</v>
      </c>
      <c r="J709">
        <f t="shared" si="11"/>
        <v>4</v>
      </c>
    </row>
    <row r="710" spans="1:10" hidden="1">
      <c r="A710">
        <v>272</v>
      </c>
      <c r="B710">
        <v>60</v>
      </c>
      <c r="C710">
        <v>1</v>
      </c>
      <c r="D710">
        <v>1</v>
      </c>
      <c r="G710">
        <v>2</v>
      </c>
      <c r="J710">
        <f t="shared" si="11"/>
        <v>4</v>
      </c>
    </row>
    <row r="711" spans="1:10" hidden="1">
      <c r="A711">
        <v>273</v>
      </c>
      <c r="B711">
        <v>60</v>
      </c>
      <c r="C711">
        <v>1</v>
      </c>
      <c r="D711">
        <v>1</v>
      </c>
      <c r="G711">
        <v>1</v>
      </c>
      <c r="I711">
        <v>1</v>
      </c>
      <c r="J711">
        <f t="shared" si="11"/>
        <v>4</v>
      </c>
    </row>
    <row r="712" spans="1:10" hidden="1">
      <c r="A712">
        <v>274</v>
      </c>
      <c r="B712">
        <v>60</v>
      </c>
      <c r="C712">
        <v>1</v>
      </c>
      <c r="F712">
        <v>1</v>
      </c>
      <c r="G712">
        <v>1</v>
      </c>
      <c r="H712">
        <v>1</v>
      </c>
      <c r="J712">
        <f t="shared" si="11"/>
        <v>4</v>
      </c>
    </row>
    <row r="713" spans="1:10" hidden="1">
      <c r="A713">
        <v>275</v>
      </c>
      <c r="B713">
        <v>60</v>
      </c>
      <c r="D713">
        <v>1</v>
      </c>
      <c r="E713">
        <v>1</v>
      </c>
      <c r="H713">
        <v>1</v>
      </c>
      <c r="I713">
        <v>1</v>
      </c>
      <c r="J713">
        <f t="shared" si="11"/>
        <v>4</v>
      </c>
    </row>
    <row r="714" spans="1:10" hidden="1">
      <c r="A714">
        <v>276</v>
      </c>
      <c r="B714">
        <v>60</v>
      </c>
      <c r="C714">
        <v>1</v>
      </c>
      <c r="E714">
        <v>1</v>
      </c>
      <c r="H714">
        <v>2</v>
      </c>
      <c r="J714">
        <f t="shared" si="11"/>
        <v>4</v>
      </c>
    </row>
    <row r="715" spans="1:10" hidden="1">
      <c r="A715">
        <v>277</v>
      </c>
      <c r="B715">
        <v>60</v>
      </c>
      <c r="J715">
        <f t="shared" si="11"/>
        <v>0</v>
      </c>
    </row>
    <row r="716" spans="1:10" hidden="1">
      <c r="A716">
        <v>278</v>
      </c>
      <c r="B716">
        <v>60</v>
      </c>
      <c r="J716">
        <f t="shared" si="11"/>
        <v>0</v>
      </c>
    </row>
    <row r="717" spans="1:10" hidden="1">
      <c r="A717">
        <v>279</v>
      </c>
      <c r="B717">
        <v>60</v>
      </c>
      <c r="J717">
        <f t="shared" si="11"/>
        <v>0</v>
      </c>
    </row>
    <row r="718" spans="1:10" hidden="1">
      <c r="A718">
        <v>280</v>
      </c>
      <c r="B718">
        <v>60</v>
      </c>
      <c r="J718">
        <f t="shared" si="11"/>
        <v>0</v>
      </c>
    </row>
    <row r="719" spans="1:10" hidden="1">
      <c r="A719">
        <v>281</v>
      </c>
      <c r="B719">
        <v>60</v>
      </c>
      <c r="J719">
        <f t="shared" si="11"/>
        <v>0</v>
      </c>
    </row>
    <row r="720" spans="1:10" hidden="1">
      <c r="A720">
        <v>282</v>
      </c>
      <c r="B720">
        <v>60</v>
      </c>
      <c r="J720">
        <f t="shared" si="11"/>
        <v>0</v>
      </c>
    </row>
    <row r="721" spans="1:10" hidden="1">
      <c r="A721">
        <v>283</v>
      </c>
      <c r="B721">
        <v>60</v>
      </c>
      <c r="J721">
        <f t="shared" si="11"/>
        <v>0</v>
      </c>
    </row>
    <row r="722" spans="1:10" hidden="1">
      <c r="A722">
        <v>239</v>
      </c>
      <c r="B722">
        <v>59</v>
      </c>
      <c r="J722">
        <f t="shared" si="11"/>
        <v>0</v>
      </c>
    </row>
    <row r="723" spans="1:10" hidden="1">
      <c r="A723">
        <v>240</v>
      </c>
      <c r="B723">
        <v>59</v>
      </c>
      <c r="J723">
        <f t="shared" si="11"/>
        <v>0</v>
      </c>
    </row>
    <row r="724" spans="1:10" hidden="1">
      <c r="A724">
        <v>241</v>
      </c>
      <c r="B724">
        <v>59</v>
      </c>
      <c r="J724">
        <f t="shared" si="11"/>
        <v>0</v>
      </c>
    </row>
    <row r="725" spans="1:10" hidden="1">
      <c r="A725">
        <v>242</v>
      </c>
      <c r="B725">
        <v>59</v>
      </c>
      <c r="J725">
        <f t="shared" si="11"/>
        <v>0</v>
      </c>
    </row>
    <row r="726" spans="1:10" hidden="1">
      <c r="A726">
        <v>243</v>
      </c>
      <c r="B726">
        <v>59</v>
      </c>
      <c r="J726">
        <f t="shared" si="11"/>
        <v>0</v>
      </c>
    </row>
    <row r="727" spans="1:10" hidden="1">
      <c r="A727">
        <v>244</v>
      </c>
      <c r="B727">
        <v>59</v>
      </c>
      <c r="J727">
        <f t="shared" si="11"/>
        <v>0</v>
      </c>
    </row>
    <row r="728" spans="1:10" hidden="1">
      <c r="A728">
        <v>245</v>
      </c>
      <c r="B728">
        <v>59</v>
      </c>
      <c r="J728">
        <f t="shared" si="11"/>
        <v>0</v>
      </c>
    </row>
    <row r="729" spans="1:10" hidden="1">
      <c r="A729">
        <v>246</v>
      </c>
      <c r="B729">
        <v>59</v>
      </c>
      <c r="J729">
        <f t="shared" si="11"/>
        <v>0</v>
      </c>
    </row>
    <row r="730" spans="1:10" hidden="1">
      <c r="A730">
        <v>247</v>
      </c>
      <c r="B730">
        <v>59</v>
      </c>
      <c r="J730">
        <f t="shared" si="11"/>
        <v>0</v>
      </c>
    </row>
    <row r="731" spans="1:10" hidden="1">
      <c r="A731">
        <v>248</v>
      </c>
      <c r="B731">
        <v>59</v>
      </c>
      <c r="J731">
        <f t="shared" si="11"/>
        <v>0</v>
      </c>
    </row>
    <row r="732" spans="1:10" hidden="1">
      <c r="A732">
        <v>249</v>
      </c>
      <c r="B732">
        <v>59</v>
      </c>
      <c r="J732">
        <f t="shared" si="11"/>
        <v>0</v>
      </c>
    </row>
    <row r="733" spans="1:10" hidden="1">
      <c r="A733">
        <v>250</v>
      </c>
      <c r="B733">
        <v>59</v>
      </c>
      <c r="J733">
        <f t="shared" si="11"/>
        <v>0</v>
      </c>
    </row>
    <row r="734" spans="1:10" hidden="1">
      <c r="A734">
        <v>251</v>
      </c>
      <c r="B734">
        <v>59</v>
      </c>
      <c r="D734">
        <v>1</v>
      </c>
      <c r="F734">
        <v>2</v>
      </c>
      <c r="G734">
        <v>1</v>
      </c>
      <c r="J734">
        <f t="shared" si="11"/>
        <v>4</v>
      </c>
    </row>
    <row r="735" spans="1:10" hidden="1">
      <c r="A735">
        <v>252</v>
      </c>
      <c r="B735">
        <v>59</v>
      </c>
      <c r="C735">
        <v>1</v>
      </c>
      <c r="E735">
        <v>1</v>
      </c>
      <c r="F735">
        <v>2</v>
      </c>
      <c r="J735">
        <f t="shared" si="11"/>
        <v>4</v>
      </c>
    </row>
    <row r="736" spans="1:10" hidden="1">
      <c r="A736">
        <v>253</v>
      </c>
      <c r="B736">
        <v>59</v>
      </c>
      <c r="C736">
        <v>1</v>
      </c>
      <c r="D736">
        <v>1</v>
      </c>
      <c r="H736">
        <v>2</v>
      </c>
      <c r="J736">
        <f t="shared" si="11"/>
        <v>4</v>
      </c>
    </row>
    <row r="737" spans="1:10" hidden="1">
      <c r="A737">
        <v>254</v>
      </c>
      <c r="B737">
        <v>59</v>
      </c>
      <c r="F737">
        <v>2</v>
      </c>
      <c r="H737">
        <v>1</v>
      </c>
      <c r="I737">
        <v>1</v>
      </c>
      <c r="J737">
        <f t="shared" si="11"/>
        <v>4</v>
      </c>
    </row>
    <row r="738" spans="1:10" hidden="1">
      <c r="A738">
        <v>255</v>
      </c>
      <c r="B738">
        <v>59</v>
      </c>
      <c r="C738">
        <v>1</v>
      </c>
      <c r="D738">
        <v>1</v>
      </c>
      <c r="E738">
        <v>1</v>
      </c>
      <c r="G738">
        <v>1</v>
      </c>
      <c r="J738">
        <f t="shared" si="11"/>
        <v>4</v>
      </c>
    </row>
    <row r="739" spans="1:10" hidden="1">
      <c r="A739">
        <v>256</v>
      </c>
      <c r="B739">
        <v>59</v>
      </c>
      <c r="J739">
        <f t="shared" si="11"/>
        <v>0</v>
      </c>
    </row>
    <row r="740" spans="1:10" hidden="1">
      <c r="A740">
        <v>257</v>
      </c>
      <c r="B740">
        <v>59</v>
      </c>
      <c r="D740">
        <v>1</v>
      </c>
      <c r="F740">
        <v>1</v>
      </c>
      <c r="H740">
        <v>1</v>
      </c>
      <c r="I740">
        <v>1</v>
      </c>
      <c r="J740">
        <f t="shared" si="11"/>
        <v>4</v>
      </c>
    </row>
    <row r="741" spans="1:10" hidden="1">
      <c r="A741">
        <v>258</v>
      </c>
      <c r="B741">
        <v>59</v>
      </c>
      <c r="J741">
        <f t="shared" si="11"/>
        <v>0</v>
      </c>
    </row>
    <row r="742" spans="1:10" hidden="1">
      <c r="A742">
        <v>259</v>
      </c>
      <c r="B742">
        <v>59</v>
      </c>
      <c r="J742">
        <f t="shared" si="11"/>
        <v>0</v>
      </c>
    </row>
    <row r="743" spans="1:10" hidden="1">
      <c r="A743">
        <v>260</v>
      </c>
      <c r="B743">
        <v>59</v>
      </c>
      <c r="C743">
        <v>1</v>
      </c>
      <c r="E743">
        <v>1</v>
      </c>
      <c r="F743">
        <v>1</v>
      </c>
      <c r="H743">
        <v>1</v>
      </c>
      <c r="J743">
        <f t="shared" si="11"/>
        <v>4</v>
      </c>
    </row>
    <row r="744" spans="1:10" hidden="1">
      <c r="A744">
        <v>261</v>
      </c>
      <c r="B744">
        <v>59</v>
      </c>
      <c r="C744">
        <v>1</v>
      </c>
      <c r="E744">
        <v>1</v>
      </c>
      <c r="F744">
        <v>1</v>
      </c>
      <c r="H744">
        <v>1</v>
      </c>
      <c r="J744">
        <f t="shared" si="11"/>
        <v>4</v>
      </c>
    </row>
    <row r="745" spans="1:10" hidden="1">
      <c r="A745">
        <v>262</v>
      </c>
      <c r="B745">
        <v>59</v>
      </c>
      <c r="C745">
        <v>1</v>
      </c>
      <c r="D745">
        <v>1</v>
      </c>
      <c r="H745">
        <v>1</v>
      </c>
      <c r="I745">
        <v>1</v>
      </c>
      <c r="J745">
        <f t="shared" si="11"/>
        <v>4</v>
      </c>
    </row>
    <row r="746" spans="1:10" hidden="1">
      <c r="A746">
        <v>263</v>
      </c>
      <c r="B746">
        <v>59</v>
      </c>
      <c r="E746">
        <v>1</v>
      </c>
      <c r="F746">
        <v>1</v>
      </c>
      <c r="H746">
        <v>1</v>
      </c>
      <c r="I746">
        <v>1</v>
      </c>
      <c r="J746">
        <f t="shared" si="11"/>
        <v>4</v>
      </c>
    </row>
    <row r="747" spans="1:10" hidden="1">
      <c r="A747">
        <v>264</v>
      </c>
      <c r="B747">
        <v>59</v>
      </c>
      <c r="C747">
        <v>1</v>
      </c>
      <c r="D747">
        <v>1</v>
      </c>
      <c r="E747">
        <v>1</v>
      </c>
      <c r="G747">
        <v>1</v>
      </c>
      <c r="J747">
        <f t="shared" si="11"/>
        <v>4</v>
      </c>
    </row>
    <row r="748" spans="1:10" hidden="1">
      <c r="A748">
        <v>265</v>
      </c>
      <c r="B748">
        <v>59</v>
      </c>
      <c r="G748">
        <v>1</v>
      </c>
      <c r="H748">
        <v>2</v>
      </c>
      <c r="I748">
        <v>1</v>
      </c>
      <c r="J748">
        <f t="shared" si="11"/>
        <v>4</v>
      </c>
    </row>
    <row r="749" spans="1:10" hidden="1">
      <c r="A749">
        <v>266</v>
      </c>
      <c r="B749">
        <v>59</v>
      </c>
      <c r="D749">
        <v>1</v>
      </c>
      <c r="G749">
        <v>2</v>
      </c>
      <c r="I749">
        <v>1</v>
      </c>
      <c r="J749">
        <f t="shared" si="11"/>
        <v>4</v>
      </c>
    </row>
    <row r="750" spans="1:10" hidden="1">
      <c r="A750">
        <v>267</v>
      </c>
      <c r="B750">
        <v>59</v>
      </c>
      <c r="C750">
        <v>1</v>
      </c>
      <c r="E750">
        <v>1</v>
      </c>
      <c r="G750">
        <v>1</v>
      </c>
      <c r="H750">
        <v>1</v>
      </c>
      <c r="J750">
        <f t="shared" si="11"/>
        <v>4</v>
      </c>
    </row>
    <row r="751" spans="1:10" hidden="1">
      <c r="A751">
        <v>268</v>
      </c>
      <c r="B751">
        <v>59</v>
      </c>
      <c r="E751">
        <v>2</v>
      </c>
      <c r="G751">
        <v>1</v>
      </c>
      <c r="H751">
        <v>1</v>
      </c>
      <c r="J751">
        <f t="shared" si="11"/>
        <v>4</v>
      </c>
    </row>
    <row r="752" spans="1:10" hidden="1">
      <c r="A752">
        <v>269</v>
      </c>
      <c r="B752">
        <v>59</v>
      </c>
      <c r="C752">
        <v>1</v>
      </c>
      <c r="E752">
        <v>1</v>
      </c>
      <c r="F752">
        <v>1</v>
      </c>
      <c r="I752">
        <v>1</v>
      </c>
      <c r="J752">
        <f t="shared" si="11"/>
        <v>4</v>
      </c>
    </row>
    <row r="753" spans="1:10" hidden="1">
      <c r="A753">
        <v>270</v>
      </c>
      <c r="B753">
        <v>59</v>
      </c>
      <c r="C753">
        <v>1</v>
      </c>
      <c r="D753">
        <v>1</v>
      </c>
      <c r="E753">
        <v>2</v>
      </c>
      <c r="J753">
        <f t="shared" si="11"/>
        <v>4</v>
      </c>
    </row>
    <row r="754" spans="1:10" hidden="1">
      <c r="A754">
        <v>271</v>
      </c>
      <c r="B754">
        <v>59</v>
      </c>
      <c r="J754">
        <f t="shared" si="11"/>
        <v>0</v>
      </c>
    </row>
    <row r="755" spans="1:10" hidden="1">
      <c r="A755">
        <v>272</v>
      </c>
      <c r="B755">
        <v>59</v>
      </c>
      <c r="E755">
        <v>2</v>
      </c>
      <c r="F755">
        <v>1</v>
      </c>
      <c r="H755">
        <v>1</v>
      </c>
      <c r="J755">
        <f t="shared" si="11"/>
        <v>4</v>
      </c>
    </row>
    <row r="756" spans="1:10">
      <c r="A756">
        <v>273</v>
      </c>
      <c r="B756">
        <v>59</v>
      </c>
      <c r="C756">
        <v>1</v>
      </c>
      <c r="E756">
        <v>1</v>
      </c>
      <c r="G756">
        <v>1</v>
      </c>
      <c r="I756">
        <v>1</v>
      </c>
      <c r="J756">
        <f t="shared" si="11"/>
        <v>4</v>
      </c>
    </row>
    <row r="757" spans="1:10" hidden="1">
      <c r="A757">
        <v>274</v>
      </c>
      <c r="B757">
        <v>59</v>
      </c>
      <c r="D757">
        <v>1</v>
      </c>
      <c r="E757">
        <v>2</v>
      </c>
      <c r="G757">
        <v>1</v>
      </c>
      <c r="J757">
        <f t="shared" si="11"/>
        <v>4</v>
      </c>
    </row>
    <row r="758" spans="1:10" hidden="1">
      <c r="A758">
        <v>275</v>
      </c>
      <c r="B758">
        <v>59</v>
      </c>
      <c r="J758">
        <f t="shared" si="11"/>
        <v>0</v>
      </c>
    </row>
    <row r="759" spans="1:10" hidden="1">
      <c r="A759">
        <v>276</v>
      </c>
      <c r="B759">
        <v>59</v>
      </c>
      <c r="J759">
        <f t="shared" si="11"/>
        <v>0</v>
      </c>
    </row>
    <row r="760" spans="1:10" hidden="1">
      <c r="A760">
        <v>277</v>
      </c>
      <c r="B760">
        <v>59</v>
      </c>
      <c r="J760">
        <f t="shared" si="11"/>
        <v>0</v>
      </c>
    </row>
    <row r="761" spans="1:10" hidden="1">
      <c r="A761">
        <v>278</v>
      </c>
      <c r="B761">
        <v>59</v>
      </c>
      <c r="J761">
        <f t="shared" si="11"/>
        <v>0</v>
      </c>
    </row>
    <row r="762" spans="1:10" hidden="1">
      <c r="A762">
        <v>279</v>
      </c>
      <c r="B762">
        <v>59</v>
      </c>
      <c r="J762">
        <f t="shared" si="11"/>
        <v>0</v>
      </c>
    </row>
    <row r="763" spans="1:10" hidden="1">
      <c r="A763">
        <v>280</v>
      </c>
      <c r="B763">
        <v>59</v>
      </c>
      <c r="J763">
        <f t="shared" si="11"/>
        <v>0</v>
      </c>
    </row>
    <row r="764" spans="1:10" hidden="1">
      <c r="A764">
        <v>281</v>
      </c>
      <c r="B764">
        <v>59</v>
      </c>
      <c r="J764">
        <f t="shared" si="11"/>
        <v>0</v>
      </c>
    </row>
    <row r="765" spans="1:10" hidden="1">
      <c r="A765">
        <v>282</v>
      </c>
      <c r="B765">
        <v>59</v>
      </c>
      <c r="J765">
        <f t="shared" si="11"/>
        <v>0</v>
      </c>
    </row>
    <row r="766" spans="1:10" hidden="1">
      <c r="A766">
        <v>283</v>
      </c>
      <c r="B766">
        <v>59</v>
      </c>
      <c r="J766">
        <f t="shared" si="11"/>
        <v>0</v>
      </c>
    </row>
    <row r="767" spans="1:10" hidden="1">
      <c r="A767">
        <v>239</v>
      </c>
      <c r="B767">
        <v>58</v>
      </c>
      <c r="J767">
        <f t="shared" si="11"/>
        <v>0</v>
      </c>
    </row>
    <row r="768" spans="1:10" hidden="1">
      <c r="A768">
        <v>240</v>
      </c>
      <c r="B768">
        <v>58</v>
      </c>
      <c r="J768">
        <f t="shared" si="11"/>
        <v>0</v>
      </c>
    </row>
    <row r="769" spans="1:10" hidden="1">
      <c r="A769">
        <v>241</v>
      </c>
      <c r="B769">
        <v>58</v>
      </c>
      <c r="J769">
        <f t="shared" si="11"/>
        <v>0</v>
      </c>
    </row>
    <row r="770" spans="1:10" hidden="1">
      <c r="A770">
        <v>242</v>
      </c>
      <c r="B770">
        <v>58</v>
      </c>
      <c r="J770">
        <f t="shared" si="11"/>
        <v>0</v>
      </c>
    </row>
    <row r="771" spans="1:10" hidden="1">
      <c r="A771">
        <v>243</v>
      </c>
      <c r="B771">
        <v>58</v>
      </c>
      <c r="J771">
        <f t="shared" ref="J771:J834" si="12">SUM(C771:I771)</f>
        <v>0</v>
      </c>
    </row>
    <row r="772" spans="1:10" hidden="1">
      <c r="A772">
        <v>244</v>
      </c>
      <c r="B772">
        <v>58</v>
      </c>
      <c r="J772">
        <f t="shared" si="12"/>
        <v>0</v>
      </c>
    </row>
    <row r="773" spans="1:10" hidden="1">
      <c r="A773">
        <v>245</v>
      </c>
      <c r="B773">
        <v>58</v>
      </c>
      <c r="J773">
        <f t="shared" si="12"/>
        <v>0</v>
      </c>
    </row>
    <row r="774" spans="1:10" hidden="1">
      <c r="A774">
        <v>246</v>
      </c>
      <c r="B774">
        <v>58</v>
      </c>
      <c r="J774">
        <f t="shared" si="12"/>
        <v>0</v>
      </c>
    </row>
    <row r="775" spans="1:10" hidden="1">
      <c r="A775">
        <v>247</v>
      </c>
      <c r="B775">
        <v>58</v>
      </c>
      <c r="J775">
        <f t="shared" si="12"/>
        <v>0</v>
      </c>
    </row>
    <row r="776" spans="1:10" hidden="1">
      <c r="A776">
        <v>248</v>
      </c>
      <c r="B776">
        <v>58</v>
      </c>
      <c r="J776">
        <f t="shared" si="12"/>
        <v>0</v>
      </c>
    </row>
    <row r="777" spans="1:10" hidden="1">
      <c r="A777">
        <v>249</v>
      </c>
      <c r="B777">
        <v>58</v>
      </c>
      <c r="J777">
        <f t="shared" si="12"/>
        <v>0</v>
      </c>
    </row>
    <row r="778" spans="1:10" hidden="1">
      <c r="A778">
        <v>250</v>
      </c>
      <c r="B778">
        <v>58</v>
      </c>
      <c r="J778">
        <f t="shared" si="12"/>
        <v>0</v>
      </c>
    </row>
    <row r="779" spans="1:10" hidden="1">
      <c r="A779">
        <v>251</v>
      </c>
      <c r="B779">
        <v>58</v>
      </c>
      <c r="J779">
        <f t="shared" si="12"/>
        <v>0</v>
      </c>
    </row>
    <row r="780" spans="1:10" hidden="1">
      <c r="A780">
        <v>252</v>
      </c>
      <c r="B780">
        <v>58</v>
      </c>
      <c r="J780">
        <f t="shared" si="12"/>
        <v>0</v>
      </c>
    </row>
    <row r="781" spans="1:10" hidden="1">
      <c r="A781">
        <v>253</v>
      </c>
      <c r="B781">
        <v>58</v>
      </c>
      <c r="C781">
        <v>1</v>
      </c>
      <c r="E781">
        <v>1</v>
      </c>
      <c r="I781">
        <v>2</v>
      </c>
      <c r="J781">
        <f t="shared" si="12"/>
        <v>4</v>
      </c>
    </row>
    <row r="782" spans="1:10" hidden="1">
      <c r="A782">
        <v>254</v>
      </c>
      <c r="B782">
        <v>58</v>
      </c>
      <c r="C782">
        <v>1</v>
      </c>
      <c r="F782">
        <v>1</v>
      </c>
      <c r="G782">
        <v>1</v>
      </c>
      <c r="I782">
        <v>1</v>
      </c>
      <c r="J782">
        <f t="shared" si="12"/>
        <v>4</v>
      </c>
    </row>
    <row r="783" spans="1:10" hidden="1">
      <c r="A783">
        <v>255</v>
      </c>
      <c r="B783">
        <v>58</v>
      </c>
      <c r="D783">
        <v>1</v>
      </c>
      <c r="E783">
        <v>1</v>
      </c>
      <c r="H783">
        <v>1</v>
      </c>
      <c r="I783">
        <v>1</v>
      </c>
      <c r="J783">
        <f t="shared" si="12"/>
        <v>4</v>
      </c>
    </row>
    <row r="784" spans="1:10" hidden="1">
      <c r="A784">
        <v>256</v>
      </c>
      <c r="B784">
        <v>58</v>
      </c>
      <c r="D784">
        <v>1</v>
      </c>
      <c r="F784">
        <v>1</v>
      </c>
      <c r="H784">
        <v>1</v>
      </c>
      <c r="I784">
        <v>1</v>
      </c>
      <c r="J784">
        <f t="shared" si="12"/>
        <v>4</v>
      </c>
    </row>
    <row r="785" spans="1:10" hidden="1">
      <c r="A785">
        <v>257</v>
      </c>
      <c r="B785">
        <v>58</v>
      </c>
      <c r="D785">
        <v>1</v>
      </c>
      <c r="F785">
        <v>1</v>
      </c>
      <c r="H785">
        <v>1</v>
      </c>
      <c r="I785">
        <v>1</v>
      </c>
      <c r="J785">
        <f t="shared" si="12"/>
        <v>4</v>
      </c>
    </row>
    <row r="786" spans="1:10" hidden="1">
      <c r="A786">
        <v>258</v>
      </c>
      <c r="B786">
        <v>58</v>
      </c>
      <c r="E786">
        <v>1</v>
      </c>
      <c r="H786">
        <v>2</v>
      </c>
      <c r="I786">
        <v>1</v>
      </c>
      <c r="J786">
        <f t="shared" si="12"/>
        <v>4</v>
      </c>
    </row>
    <row r="787" spans="1:10" hidden="1">
      <c r="A787">
        <v>259</v>
      </c>
      <c r="B787">
        <v>58</v>
      </c>
      <c r="E787">
        <v>1</v>
      </c>
      <c r="F787">
        <v>1</v>
      </c>
      <c r="G787">
        <v>1</v>
      </c>
      <c r="H787">
        <v>1</v>
      </c>
      <c r="J787">
        <f t="shared" si="12"/>
        <v>4</v>
      </c>
    </row>
    <row r="788" spans="1:10" hidden="1">
      <c r="A788">
        <v>260</v>
      </c>
      <c r="B788">
        <v>58</v>
      </c>
      <c r="D788">
        <v>1</v>
      </c>
      <c r="E788">
        <v>1</v>
      </c>
      <c r="F788">
        <v>1</v>
      </c>
      <c r="G788">
        <v>1</v>
      </c>
      <c r="J788">
        <f t="shared" si="12"/>
        <v>4</v>
      </c>
    </row>
    <row r="789" spans="1:10" hidden="1">
      <c r="A789">
        <v>261</v>
      </c>
      <c r="B789">
        <v>58</v>
      </c>
      <c r="E789">
        <v>1</v>
      </c>
      <c r="G789">
        <v>1</v>
      </c>
      <c r="H789">
        <v>2</v>
      </c>
      <c r="J789">
        <f t="shared" si="12"/>
        <v>4</v>
      </c>
    </row>
    <row r="790" spans="1:10" hidden="1">
      <c r="A790">
        <v>262</v>
      </c>
      <c r="B790">
        <v>58</v>
      </c>
      <c r="J790">
        <f t="shared" si="12"/>
        <v>0</v>
      </c>
    </row>
    <row r="791" spans="1:10" hidden="1">
      <c r="A791">
        <v>263</v>
      </c>
      <c r="B791">
        <v>58</v>
      </c>
      <c r="E791">
        <v>1</v>
      </c>
      <c r="F791">
        <v>1</v>
      </c>
      <c r="G791">
        <v>1</v>
      </c>
      <c r="H791">
        <v>1</v>
      </c>
      <c r="J791">
        <f t="shared" si="12"/>
        <v>4</v>
      </c>
    </row>
    <row r="792" spans="1:10" hidden="1">
      <c r="A792">
        <v>264</v>
      </c>
      <c r="B792">
        <v>58</v>
      </c>
      <c r="J792">
        <f t="shared" si="12"/>
        <v>0</v>
      </c>
    </row>
    <row r="793" spans="1:10" hidden="1">
      <c r="A793">
        <v>265</v>
      </c>
      <c r="B793">
        <v>58</v>
      </c>
      <c r="J793">
        <f t="shared" si="12"/>
        <v>0</v>
      </c>
    </row>
    <row r="794" spans="1:10" hidden="1">
      <c r="A794">
        <v>266</v>
      </c>
      <c r="B794">
        <v>58</v>
      </c>
      <c r="C794">
        <v>1</v>
      </c>
      <c r="E794">
        <v>1</v>
      </c>
      <c r="F794">
        <v>1</v>
      </c>
      <c r="I794">
        <v>1</v>
      </c>
      <c r="J794">
        <f t="shared" si="12"/>
        <v>4</v>
      </c>
    </row>
    <row r="795" spans="1:10" hidden="1">
      <c r="A795">
        <v>267</v>
      </c>
      <c r="B795">
        <v>58</v>
      </c>
      <c r="C795">
        <v>1</v>
      </c>
      <c r="D795">
        <v>1</v>
      </c>
      <c r="H795">
        <v>1</v>
      </c>
      <c r="I795">
        <v>1</v>
      </c>
      <c r="J795">
        <f t="shared" si="12"/>
        <v>4</v>
      </c>
    </row>
    <row r="796" spans="1:10" hidden="1">
      <c r="A796">
        <v>268</v>
      </c>
      <c r="B796">
        <v>58</v>
      </c>
      <c r="C796">
        <v>1</v>
      </c>
      <c r="D796">
        <v>1</v>
      </c>
      <c r="E796">
        <v>1</v>
      </c>
      <c r="I796">
        <v>1</v>
      </c>
      <c r="J796">
        <f t="shared" si="12"/>
        <v>4</v>
      </c>
    </row>
    <row r="797" spans="1:10" hidden="1">
      <c r="A797">
        <v>269</v>
      </c>
      <c r="B797">
        <v>58</v>
      </c>
      <c r="C797">
        <v>1</v>
      </c>
      <c r="E797">
        <v>1</v>
      </c>
      <c r="H797">
        <v>1</v>
      </c>
      <c r="I797">
        <v>1</v>
      </c>
      <c r="J797">
        <f t="shared" si="12"/>
        <v>4</v>
      </c>
    </row>
    <row r="798" spans="1:10" hidden="1">
      <c r="A798">
        <v>270</v>
      </c>
      <c r="B798">
        <v>58</v>
      </c>
      <c r="C798">
        <v>1</v>
      </c>
      <c r="D798">
        <v>1</v>
      </c>
      <c r="H798">
        <v>1</v>
      </c>
      <c r="I798">
        <v>1</v>
      </c>
      <c r="J798">
        <f t="shared" si="12"/>
        <v>4</v>
      </c>
    </row>
    <row r="799" spans="1:10" hidden="1">
      <c r="A799">
        <v>271</v>
      </c>
      <c r="B799">
        <v>58</v>
      </c>
      <c r="E799">
        <v>1</v>
      </c>
      <c r="F799">
        <v>1</v>
      </c>
      <c r="G799">
        <v>1</v>
      </c>
      <c r="I799">
        <v>1</v>
      </c>
      <c r="J799">
        <f t="shared" si="12"/>
        <v>4</v>
      </c>
    </row>
    <row r="800" spans="1:10" hidden="1">
      <c r="A800">
        <v>272</v>
      </c>
      <c r="B800">
        <v>58</v>
      </c>
      <c r="J800">
        <f t="shared" si="12"/>
        <v>0</v>
      </c>
    </row>
    <row r="801" spans="1:10">
      <c r="A801">
        <v>273</v>
      </c>
      <c r="B801">
        <v>58</v>
      </c>
      <c r="C801">
        <v>1</v>
      </c>
      <c r="E801">
        <v>1</v>
      </c>
      <c r="G801">
        <v>1</v>
      </c>
      <c r="I801">
        <v>1</v>
      </c>
      <c r="J801">
        <f t="shared" si="12"/>
        <v>4</v>
      </c>
    </row>
    <row r="802" spans="1:10" hidden="1">
      <c r="A802">
        <v>274</v>
      </c>
      <c r="B802">
        <v>58</v>
      </c>
      <c r="D802">
        <v>1</v>
      </c>
      <c r="G802">
        <v>2</v>
      </c>
      <c r="I802">
        <v>1</v>
      </c>
      <c r="J802">
        <f t="shared" si="12"/>
        <v>4</v>
      </c>
    </row>
    <row r="803" spans="1:10" hidden="1">
      <c r="A803">
        <v>275</v>
      </c>
      <c r="B803">
        <v>58</v>
      </c>
      <c r="J803">
        <f t="shared" si="12"/>
        <v>0</v>
      </c>
    </row>
    <row r="804" spans="1:10" hidden="1">
      <c r="A804">
        <v>276</v>
      </c>
      <c r="B804">
        <v>58</v>
      </c>
      <c r="J804">
        <f t="shared" si="12"/>
        <v>0</v>
      </c>
    </row>
    <row r="805" spans="1:10" hidden="1">
      <c r="A805">
        <v>277</v>
      </c>
      <c r="B805">
        <v>58</v>
      </c>
      <c r="J805">
        <f t="shared" si="12"/>
        <v>0</v>
      </c>
    </row>
    <row r="806" spans="1:10" hidden="1">
      <c r="A806">
        <v>278</v>
      </c>
      <c r="B806">
        <v>58</v>
      </c>
      <c r="J806">
        <f t="shared" si="12"/>
        <v>0</v>
      </c>
    </row>
    <row r="807" spans="1:10" hidden="1">
      <c r="A807">
        <v>279</v>
      </c>
      <c r="B807">
        <v>58</v>
      </c>
      <c r="J807">
        <f t="shared" si="12"/>
        <v>0</v>
      </c>
    </row>
    <row r="808" spans="1:10" hidden="1">
      <c r="A808">
        <v>280</v>
      </c>
      <c r="B808">
        <v>58</v>
      </c>
      <c r="J808">
        <f t="shared" si="12"/>
        <v>0</v>
      </c>
    </row>
    <row r="809" spans="1:10" hidden="1">
      <c r="A809">
        <v>281</v>
      </c>
      <c r="B809">
        <v>58</v>
      </c>
      <c r="J809">
        <f t="shared" si="12"/>
        <v>0</v>
      </c>
    </row>
    <row r="810" spans="1:10" hidden="1">
      <c r="A810">
        <v>282</v>
      </c>
      <c r="B810">
        <v>58</v>
      </c>
      <c r="J810">
        <f t="shared" si="12"/>
        <v>0</v>
      </c>
    </row>
    <row r="811" spans="1:10" hidden="1">
      <c r="A811">
        <v>283</v>
      </c>
      <c r="B811">
        <v>58</v>
      </c>
      <c r="J811">
        <f t="shared" si="12"/>
        <v>0</v>
      </c>
    </row>
    <row r="812" spans="1:10" hidden="1">
      <c r="A812">
        <v>239</v>
      </c>
      <c r="B812">
        <v>57</v>
      </c>
      <c r="J812">
        <f t="shared" si="12"/>
        <v>0</v>
      </c>
    </row>
    <row r="813" spans="1:10" hidden="1">
      <c r="A813">
        <v>240</v>
      </c>
      <c r="B813">
        <v>57</v>
      </c>
      <c r="J813">
        <f t="shared" si="12"/>
        <v>0</v>
      </c>
    </row>
    <row r="814" spans="1:10" hidden="1">
      <c r="A814">
        <v>241</v>
      </c>
      <c r="B814">
        <v>57</v>
      </c>
      <c r="J814">
        <f t="shared" si="12"/>
        <v>0</v>
      </c>
    </row>
    <row r="815" spans="1:10" hidden="1">
      <c r="A815">
        <v>242</v>
      </c>
      <c r="B815">
        <v>57</v>
      </c>
      <c r="J815">
        <f t="shared" si="12"/>
        <v>0</v>
      </c>
    </row>
    <row r="816" spans="1:10" hidden="1">
      <c r="A816">
        <v>243</v>
      </c>
      <c r="B816">
        <v>57</v>
      </c>
      <c r="J816">
        <f t="shared" si="12"/>
        <v>0</v>
      </c>
    </row>
    <row r="817" spans="1:10" hidden="1">
      <c r="A817">
        <v>244</v>
      </c>
      <c r="B817">
        <v>57</v>
      </c>
      <c r="J817">
        <f t="shared" si="12"/>
        <v>0</v>
      </c>
    </row>
    <row r="818" spans="1:10" hidden="1">
      <c r="A818">
        <v>245</v>
      </c>
      <c r="B818">
        <v>57</v>
      </c>
      <c r="J818">
        <f t="shared" si="12"/>
        <v>0</v>
      </c>
    </row>
    <row r="819" spans="1:10" hidden="1">
      <c r="A819">
        <v>246</v>
      </c>
      <c r="B819">
        <v>57</v>
      </c>
      <c r="J819">
        <f t="shared" si="12"/>
        <v>0</v>
      </c>
    </row>
    <row r="820" spans="1:10" hidden="1">
      <c r="A820">
        <v>247</v>
      </c>
      <c r="B820">
        <v>57</v>
      </c>
      <c r="J820">
        <f t="shared" si="12"/>
        <v>0</v>
      </c>
    </row>
    <row r="821" spans="1:10" hidden="1">
      <c r="A821">
        <v>248</v>
      </c>
      <c r="B821">
        <v>57</v>
      </c>
      <c r="J821">
        <f t="shared" si="12"/>
        <v>0</v>
      </c>
    </row>
    <row r="822" spans="1:10" hidden="1">
      <c r="A822">
        <v>249</v>
      </c>
      <c r="B822">
        <v>57</v>
      </c>
      <c r="J822">
        <f t="shared" si="12"/>
        <v>0</v>
      </c>
    </row>
    <row r="823" spans="1:10" hidden="1">
      <c r="A823">
        <v>250</v>
      </c>
      <c r="B823">
        <v>57</v>
      </c>
      <c r="J823">
        <f t="shared" si="12"/>
        <v>0</v>
      </c>
    </row>
    <row r="824" spans="1:10" hidden="1">
      <c r="A824">
        <v>251</v>
      </c>
      <c r="B824">
        <v>57</v>
      </c>
      <c r="J824">
        <f t="shared" si="12"/>
        <v>0</v>
      </c>
    </row>
    <row r="825" spans="1:10" hidden="1">
      <c r="A825">
        <v>252</v>
      </c>
      <c r="B825">
        <v>57</v>
      </c>
      <c r="J825">
        <f t="shared" si="12"/>
        <v>0</v>
      </c>
    </row>
    <row r="826" spans="1:10" hidden="1">
      <c r="A826">
        <v>253</v>
      </c>
      <c r="B826">
        <v>57</v>
      </c>
      <c r="J826">
        <f t="shared" si="12"/>
        <v>0</v>
      </c>
    </row>
    <row r="827" spans="1:10" hidden="1">
      <c r="A827">
        <v>254</v>
      </c>
      <c r="B827">
        <v>57</v>
      </c>
      <c r="J827">
        <f t="shared" si="12"/>
        <v>0</v>
      </c>
    </row>
    <row r="828" spans="1:10" hidden="1">
      <c r="A828">
        <v>255</v>
      </c>
      <c r="B828">
        <v>57</v>
      </c>
      <c r="J828">
        <f t="shared" si="12"/>
        <v>0</v>
      </c>
    </row>
    <row r="829" spans="1:10" hidden="1">
      <c r="A829">
        <v>256</v>
      </c>
      <c r="B829">
        <v>57</v>
      </c>
      <c r="C829">
        <v>1</v>
      </c>
      <c r="D829">
        <v>1</v>
      </c>
      <c r="F829">
        <v>1</v>
      </c>
      <c r="I829">
        <v>1</v>
      </c>
      <c r="J829">
        <f t="shared" si="12"/>
        <v>4</v>
      </c>
    </row>
    <row r="830" spans="1:10" hidden="1">
      <c r="A830">
        <v>257</v>
      </c>
      <c r="B830">
        <v>57</v>
      </c>
      <c r="E830">
        <v>1</v>
      </c>
      <c r="F830">
        <v>1</v>
      </c>
      <c r="G830">
        <v>1</v>
      </c>
      <c r="H830">
        <v>1</v>
      </c>
      <c r="J830">
        <f t="shared" si="12"/>
        <v>4</v>
      </c>
    </row>
    <row r="831" spans="1:10" hidden="1">
      <c r="A831">
        <v>258</v>
      </c>
      <c r="B831">
        <v>57</v>
      </c>
      <c r="J831">
        <f t="shared" si="12"/>
        <v>0</v>
      </c>
    </row>
    <row r="832" spans="1:10" hidden="1">
      <c r="A832">
        <v>259</v>
      </c>
      <c r="B832">
        <v>57</v>
      </c>
      <c r="J832">
        <f t="shared" si="12"/>
        <v>0</v>
      </c>
    </row>
    <row r="833" spans="1:10" hidden="1">
      <c r="A833">
        <v>260</v>
      </c>
      <c r="B833">
        <v>57</v>
      </c>
      <c r="J833">
        <f t="shared" si="12"/>
        <v>0</v>
      </c>
    </row>
    <row r="834" spans="1:10" hidden="1">
      <c r="A834">
        <v>261</v>
      </c>
      <c r="B834">
        <v>57</v>
      </c>
      <c r="C834">
        <v>1</v>
      </c>
      <c r="D834">
        <v>1</v>
      </c>
      <c r="G834">
        <v>1</v>
      </c>
      <c r="H834">
        <v>1</v>
      </c>
      <c r="J834">
        <f t="shared" si="12"/>
        <v>4</v>
      </c>
    </row>
    <row r="835" spans="1:10" hidden="1">
      <c r="A835">
        <v>262</v>
      </c>
      <c r="B835">
        <v>57</v>
      </c>
      <c r="E835">
        <v>1</v>
      </c>
      <c r="F835">
        <v>1</v>
      </c>
      <c r="H835">
        <v>2</v>
      </c>
      <c r="J835">
        <f t="shared" ref="J835:J898" si="13">SUM(C835:I835)</f>
        <v>4</v>
      </c>
    </row>
    <row r="836" spans="1:10" hidden="1">
      <c r="A836">
        <v>263</v>
      </c>
      <c r="B836">
        <v>57</v>
      </c>
      <c r="D836">
        <v>1</v>
      </c>
      <c r="E836">
        <v>1</v>
      </c>
      <c r="F836">
        <v>2</v>
      </c>
      <c r="J836">
        <f t="shared" si="13"/>
        <v>4</v>
      </c>
    </row>
    <row r="837" spans="1:10" hidden="1">
      <c r="A837">
        <v>264</v>
      </c>
      <c r="B837">
        <v>57</v>
      </c>
      <c r="C837">
        <v>1</v>
      </c>
      <c r="D837">
        <v>1</v>
      </c>
      <c r="F837">
        <v>1</v>
      </c>
      <c r="H837">
        <v>1</v>
      </c>
      <c r="J837">
        <f t="shared" si="13"/>
        <v>4</v>
      </c>
    </row>
    <row r="838" spans="1:10" hidden="1">
      <c r="A838">
        <v>265</v>
      </c>
      <c r="B838">
        <v>57</v>
      </c>
      <c r="C838">
        <v>1</v>
      </c>
      <c r="D838">
        <v>1</v>
      </c>
      <c r="E838">
        <v>1</v>
      </c>
      <c r="H838">
        <v>1</v>
      </c>
      <c r="J838">
        <f t="shared" si="13"/>
        <v>4</v>
      </c>
    </row>
    <row r="839" spans="1:10" hidden="1">
      <c r="A839">
        <v>266</v>
      </c>
      <c r="B839">
        <v>57</v>
      </c>
      <c r="J839">
        <f t="shared" si="13"/>
        <v>0</v>
      </c>
    </row>
    <row r="840" spans="1:10" hidden="1">
      <c r="A840">
        <v>267</v>
      </c>
      <c r="B840">
        <v>57</v>
      </c>
      <c r="J840">
        <f t="shared" si="13"/>
        <v>0</v>
      </c>
    </row>
    <row r="841" spans="1:10" hidden="1">
      <c r="A841">
        <v>268</v>
      </c>
      <c r="B841">
        <v>57</v>
      </c>
      <c r="D841">
        <v>1</v>
      </c>
      <c r="E841">
        <v>1</v>
      </c>
      <c r="I841">
        <v>2</v>
      </c>
      <c r="J841">
        <f t="shared" si="13"/>
        <v>4</v>
      </c>
    </row>
    <row r="842" spans="1:10" hidden="1">
      <c r="A842">
        <v>269</v>
      </c>
      <c r="B842">
        <v>57</v>
      </c>
      <c r="E842">
        <v>1</v>
      </c>
      <c r="F842">
        <v>1</v>
      </c>
      <c r="G842">
        <v>1</v>
      </c>
      <c r="I842">
        <v>1</v>
      </c>
      <c r="J842">
        <f t="shared" si="13"/>
        <v>4</v>
      </c>
    </row>
    <row r="843" spans="1:10" hidden="1">
      <c r="A843">
        <v>270</v>
      </c>
      <c r="B843">
        <v>57</v>
      </c>
      <c r="J843">
        <f t="shared" si="13"/>
        <v>0</v>
      </c>
    </row>
    <row r="844" spans="1:10" hidden="1">
      <c r="A844">
        <v>271</v>
      </c>
      <c r="B844">
        <v>57</v>
      </c>
      <c r="C844">
        <v>1</v>
      </c>
      <c r="D844">
        <v>1</v>
      </c>
      <c r="G844">
        <v>1</v>
      </c>
      <c r="I844">
        <v>1</v>
      </c>
      <c r="J844">
        <f t="shared" si="13"/>
        <v>4</v>
      </c>
    </row>
    <row r="845" spans="1:10" hidden="1">
      <c r="A845">
        <v>272</v>
      </c>
      <c r="B845">
        <v>57</v>
      </c>
      <c r="C845">
        <v>1</v>
      </c>
      <c r="D845">
        <v>2</v>
      </c>
      <c r="E845">
        <v>1</v>
      </c>
      <c r="J845">
        <f t="shared" si="13"/>
        <v>4</v>
      </c>
    </row>
    <row r="846" spans="1:10" hidden="1">
      <c r="A846">
        <v>273</v>
      </c>
      <c r="B846">
        <v>57</v>
      </c>
      <c r="D846">
        <v>2</v>
      </c>
      <c r="E846">
        <v>1</v>
      </c>
      <c r="H846">
        <v>1</v>
      </c>
      <c r="J846">
        <f t="shared" si="13"/>
        <v>4</v>
      </c>
    </row>
    <row r="847" spans="1:10" hidden="1">
      <c r="A847">
        <v>274</v>
      </c>
      <c r="B847">
        <v>57</v>
      </c>
      <c r="J847">
        <f t="shared" si="13"/>
        <v>0</v>
      </c>
    </row>
    <row r="848" spans="1:10" hidden="1">
      <c r="A848">
        <v>275</v>
      </c>
      <c r="B848">
        <v>57</v>
      </c>
      <c r="J848">
        <f t="shared" si="13"/>
        <v>0</v>
      </c>
    </row>
    <row r="849" spans="1:10" hidden="1">
      <c r="A849">
        <v>276</v>
      </c>
      <c r="B849">
        <v>57</v>
      </c>
      <c r="J849">
        <f t="shared" si="13"/>
        <v>0</v>
      </c>
    </row>
    <row r="850" spans="1:10" hidden="1">
      <c r="A850">
        <v>277</v>
      </c>
      <c r="B850">
        <v>57</v>
      </c>
      <c r="J850">
        <f t="shared" si="13"/>
        <v>0</v>
      </c>
    </row>
    <row r="851" spans="1:10" hidden="1">
      <c r="A851">
        <v>278</v>
      </c>
      <c r="B851">
        <v>57</v>
      </c>
      <c r="J851">
        <f t="shared" si="13"/>
        <v>0</v>
      </c>
    </row>
    <row r="852" spans="1:10" hidden="1">
      <c r="A852">
        <v>279</v>
      </c>
      <c r="B852">
        <v>57</v>
      </c>
      <c r="J852">
        <f t="shared" si="13"/>
        <v>0</v>
      </c>
    </row>
    <row r="853" spans="1:10" hidden="1">
      <c r="A853">
        <v>280</v>
      </c>
      <c r="B853">
        <v>57</v>
      </c>
      <c r="J853">
        <f t="shared" si="13"/>
        <v>0</v>
      </c>
    </row>
    <row r="854" spans="1:10" hidden="1">
      <c r="A854">
        <v>281</v>
      </c>
      <c r="B854">
        <v>57</v>
      </c>
      <c r="J854">
        <f t="shared" si="13"/>
        <v>0</v>
      </c>
    </row>
    <row r="855" spans="1:10" hidden="1">
      <c r="A855">
        <v>282</v>
      </c>
      <c r="B855">
        <v>57</v>
      </c>
      <c r="J855">
        <f t="shared" si="13"/>
        <v>0</v>
      </c>
    </row>
    <row r="856" spans="1:10" hidden="1">
      <c r="A856">
        <v>283</v>
      </c>
      <c r="B856">
        <v>57</v>
      </c>
      <c r="J856">
        <f t="shared" si="13"/>
        <v>0</v>
      </c>
    </row>
    <row r="857" spans="1:10" hidden="1">
      <c r="A857">
        <v>239</v>
      </c>
      <c r="B857">
        <v>56</v>
      </c>
      <c r="J857">
        <f t="shared" si="13"/>
        <v>0</v>
      </c>
    </row>
    <row r="858" spans="1:10" hidden="1">
      <c r="A858">
        <v>240</v>
      </c>
      <c r="B858">
        <v>56</v>
      </c>
      <c r="J858">
        <f t="shared" si="13"/>
        <v>0</v>
      </c>
    </row>
    <row r="859" spans="1:10" hidden="1">
      <c r="A859">
        <v>241</v>
      </c>
      <c r="B859">
        <v>56</v>
      </c>
      <c r="J859">
        <f t="shared" si="13"/>
        <v>0</v>
      </c>
    </row>
    <row r="860" spans="1:10" hidden="1">
      <c r="A860">
        <v>242</v>
      </c>
      <c r="B860">
        <v>56</v>
      </c>
      <c r="J860">
        <f t="shared" si="13"/>
        <v>0</v>
      </c>
    </row>
    <row r="861" spans="1:10" hidden="1">
      <c r="A861">
        <v>243</v>
      </c>
      <c r="B861">
        <v>56</v>
      </c>
      <c r="J861">
        <f t="shared" si="13"/>
        <v>0</v>
      </c>
    </row>
    <row r="862" spans="1:10" hidden="1">
      <c r="A862">
        <v>244</v>
      </c>
      <c r="B862">
        <v>56</v>
      </c>
      <c r="J862">
        <f t="shared" si="13"/>
        <v>0</v>
      </c>
    </row>
    <row r="863" spans="1:10" hidden="1">
      <c r="A863">
        <v>245</v>
      </c>
      <c r="B863">
        <v>56</v>
      </c>
      <c r="J863">
        <f t="shared" si="13"/>
        <v>0</v>
      </c>
    </row>
    <row r="864" spans="1:10" hidden="1">
      <c r="A864">
        <v>246</v>
      </c>
      <c r="B864">
        <v>56</v>
      </c>
      <c r="J864">
        <f t="shared" si="13"/>
        <v>0</v>
      </c>
    </row>
    <row r="865" spans="1:10" hidden="1">
      <c r="A865">
        <v>247</v>
      </c>
      <c r="B865">
        <v>56</v>
      </c>
      <c r="J865">
        <f t="shared" si="13"/>
        <v>0</v>
      </c>
    </row>
    <row r="866" spans="1:10" hidden="1">
      <c r="A866">
        <v>248</v>
      </c>
      <c r="B866">
        <v>56</v>
      </c>
      <c r="J866">
        <f t="shared" si="13"/>
        <v>0</v>
      </c>
    </row>
    <row r="867" spans="1:10" hidden="1">
      <c r="A867">
        <v>249</v>
      </c>
      <c r="B867">
        <v>56</v>
      </c>
      <c r="J867">
        <f t="shared" si="13"/>
        <v>0</v>
      </c>
    </row>
    <row r="868" spans="1:10" hidden="1">
      <c r="A868">
        <v>250</v>
      </c>
      <c r="B868">
        <v>56</v>
      </c>
      <c r="J868">
        <f t="shared" si="13"/>
        <v>0</v>
      </c>
    </row>
    <row r="869" spans="1:10" hidden="1">
      <c r="A869">
        <v>251</v>
      </c>
      <c r="B869">
        <v>56</v>
      </c>
      <c r="J869">
        <f t="shared" si="13"/>
        <v>0</v>
      </c>
    </row>
    <row r="870" spans="1:10" hidden="1">
      <c r="A870">
        <v>252</v>
      </c>
      <c r="B870">
        <v>56</v>
      </c>
      <c r="J870">
        <f t="shared" si="13"/>
        <v>0</v>
      </c>
    </row>
    <row r="871" spans="1:10" hidden="1">
      <c r="A871">
        <v>253</v>
      </c>
      <c r="B871">
        <v>56</v>
      </c>
      <c r="J871">
        <f t="shared" si="13"/>
        <v>0</v>
      </c>
    </row>
    <row r="872" spans="1:10" hidden="1">
      <c r="A872">
        <v>254</v>
      </c>
      <c r="B872">
        <v>56</v>
      </c>
      <c r="J872">
        <f t="shared" si="13"/>
        <v>0</v>
      </c>
    </row>
    <row r="873" spans="1:10" hidden="1">
      <c r="A873">
        <v>255</v>
      </c>
      <c r="B873">
        <v>56</v>
      </c>
      <c r="J873">
        <f t="shared" si="13"/>
        <v>0</v>
      </c>
    </row>
    <row r="874" spans="1:10" hidden="1">
      <c r="A874">
        <v>256</v>
      </c>
      <c r="B874">
        <v>56</v>
      </c>
      <c r="J874">
        <f t="shared" si="13"/>
        <v>0</v>
      </c>
    </row>
    <row r="875" spans="1:10" hidden="1">
      <c r="A875">
        <v>257</v>
      </c>
      <c r="B875">
        <v>56</v>
      </c>
      <c r="E875">
        <v>1</v>
      </c>
      <c r="F875">
        <v>1</v>
      </c>
      <c r="G875">
        <v>1</v>
      </c>
      <c r="H875">
        <v>1</v>
      </c>
      <c r="J875">
        <f t="shared" si="13"/>
        <v>4</v>
      </c>
    </row>
    <row r="876" spans="1:10" hidden="1">
      <c r="A876">
        <v>258</v>
      </c>
      <c r="B876">
        <v>56</v>
      </c>
      <c r="C876">
        <v>1</v>
      </c>
      <c r="D876">
        <v>1</v>
      </c>
      <c r="E876">
        <v>1</v>
      </c>
      <c r="I876">
        <v>1</v>
      </c>
      <c r="J876">
        <f t="shared" si="13"/>
        <v>4</v>
      </c>
    </row>
    <row r="877" spans="1:10" hidden="1">
      <c r="A877">
        <v>259</v>
      </c>
      <c r="B877">
        <v>56</v>
      </c>
      <c r="J877">
        <f t="shared" si="13"/>
        <v>0</v>
      </c>
    </row>
    <row r="878" spans="1:10" hidden="1">
      <c r="A878">
        <v>260</v>
      </c>
      <c r="B878">
        <v>56</v>
      </c>
      <c r="J878">
        <f t="shared" si="13"/>
        <v>0</v>
      </c>
    </row>
    <row r="879" spans="1:10" hidden="1">
      <c r="A879">
        <v>261</v>
      </c>
      <c r="B879">
        <v>56</v>
      </c>
      <c r="J879">
        <f t="shared" si="13"/>
        <v>0</v>
      </c>
    </row>
    <row r="880" spans="1:10" hidden="1">
      <c r="A880">
        <v>262</v>
      </c>
      <c r="B880">
        <v>56</v>
      </c>
      <c r="J880">
        <f t="shared" si="13"/>
        <v>0</v>
      </c>
    </row>
    <row r="881" spans="1:10" hidden="1">
      <c r="A881">
        <v>263</v>
      </c>
      <c r="B881">
        <v>56</v>
      </c>
      <c r="C881">
        <v>1</v>
      </c>
      <c r="D881">
        <v>1</v>
      </c>
      <c r="F881">
        <v>1</v>
      </c>
      <c r="H881">
        <v>1</v>
      </c>
      <c r="J881">
        <f t="shared" si="13"/>
        <v>4</v>
      </c>
    </row>
    <row r="882" spans="1:10" hidden="1">
      <c r="A882">
        <v>264</v>
      </c>
      <c r="B882">
        <v>56</v>
      </c>
      <c r="J882">
        <f t="shared" si="13"/>
        <v>0</v>
      </c>
    </row>
    <row r="883" spans="1:10" hidden="1">
      <c r="A883">
        <v>265</v>
      </c>
      <c r="B883">
        <v>56</v>
      </c>
      <c r="D883">
        <v>1</v>
      </c>
      <c r="G883">
        <v>2</v>
      </c>
      <c r="H883">
        <v>1</v>
      </c>
      <c r="J883">
        <f t="shared" si="13"/>
        <v>4</v>
      </c>
    </row>
    <row r="884" spans="1:10" hidden="1">
      <c r="A884">
        <v>266</v>
      </c>
      <c r="B884">
        <v>56</v>
      </c>
      <c r="E884">
        <v>1</v>
      </c>
      <c r="G884">
        <v>1</v>
      </c>
      <c r="H884">
        <v>1</v>
      </c>
      <c r="I884">
        <v>1</v>
      </c>
      <c r="J884">
        <f t="shared" si="13"/>
        <v>4</v>
      </c>
    </row>
    <row r="885" spans="1:10" hidden="1">
      <c r="A885">
        <v>267</v>
      </c>
      <c r="B885">
        <v>56</v>
      </c>
      <c r="C885">
        <v>1</v>
      </c>
      <c r="H885">
        <v>2</v>
      </c>
      <c r="I885">
        <v>1</v>
      </c>
      <c r="J885">
        <f t="shared" si="13"/>
        <v>4</v>
      </c>
    </row>
    <row r="886" spans="1:10" hidden="1">
      <c r="A886">
        <v>268</v>
      </c>
      <c r="B886">
        <v>56</v>
      </c>
      <c r="C886">
        <v>1</v>
      </c>
      <c r="D886">
        <v>1</v>
      </c>
      <c r="F886">
        <v>1</v>
      </c>
      <c r="H886">
        <v>1</v>
      </c>
      <c r="J886">
        <f t="shared" si="13"/>
        <v>4</v>
      </c>
    </row>
    <row r="887" spans="1:10" hidden="1">
      <c r="A887">
        <v>269</v>
      </c>
      <c r="B887">
        <v>56</v>
      </c>
      <c r="J887">
        <f t="shared" si="13"/>
        <v>0</v>
      </c>
    </row>
    <row r="888" spans="1:10" hidden="1">
      <c r="A888">
        <v>270</v>
      </c>
      <c r="B888">
        <v>56</v>
      </c>
      <c r="J888">
        <f t="shared" si="13"/>
        <v>0</v>
      </c>
    </row>
    <row r="889" spans="1:10" hidden="1">
      <c r="A889">
        <v>271</v>
      </c>
      <c r="B889">
        <v>56</v>
      </c>
      <c r="F889">
        <v>2</v>
      </c>
      <c r="G889">
        <v>1</v>
      </c>
      <c r="H889">
        <v>1</v>
      </c>
      <c r="J889">
        <f t="shared" si="13"/>
        <v>4</v>
      </c>
    </row>
    <row r="890" spans="1:10" hidden="1">
      <c r="A890">
        <v>272</v>
      </c>
      <c r="B890">
        <v>56</v>
      </c>
      <c r="D890">
        <v>1</v>
      </c>
      <c r="F890">
        <v>1</v>
      </c>
      <c r="G890">
        <v>1</v>
      </c>
      <c r="H890">
        <v>1</v>
      </c>
      <c r="J890">
        <f t="shared" si="13"/>
        <v>4</v>
      </c>
    </row>
    <row r="891" spans="1:10">
      <c r="A891">
        <v>273</v>
      </c>
      <c r="B891">
        <v>56</v>
      </c>
      <c r="C891">
        <v>1</v>
      </c>
      <c r="E891">
        <v>1</v>
      </c>
      <c r="G891">
        <v>1</v>
      </c>
      <c r="I891">
        <v>1</v>
      </c>
      <c r="J891">
        <f t="shared" si="13"/>
        <v>4</v>
      </c>
    </row>
    <row r="892" spans="1:10" hidden="1">
      <c r="A892">
        <v>274</v>
      </c>
      <c r="B892">
        <v>56</v>
      </c>
      <c r="J892">
        <f t="shared" si="13"/>
        <v>0</v>
      </c>
    </row>
    <row r="893" spans="1:10" hidden="1">
      <c r="A893">
        <v>275</v>
      </c>
      <c r="B893">
        <v>56</v>
      </c>
      <c r="J893">
        <f t="shared" si="13"/>
        <v>0</v>
      </c>
    </row>
    <row r="894" spans="1:10" hidden="1">
      <c r="A894">
        <v>276</v>
      </c>
      <c r="B894">
        <v>56</v>
      </c>
      <c r="J894">
        <f t="shared" si="13"/>
        <v>0</v>
      </c>
    </row>
    <row r="895" spans="1:10" hidden="1">
      <c r="A895">
        <v>277</v>
      </c>
      <c r="B895">
        <v>56</v>
      </c>
      <c r="J895">
        <f t="shared" si="13"/>
        <v>0</v>
      </c>
    </row>
    <row r="896" spans="1:10" hidden="1">
      <c r="A896">
        <v>278</v>
      </c>
      <c r="B896">
        <v>56</v>
      </c>
      <c r="J896">
        <f t="shared" si="13"/>
        <v>0</v>
      </c>
    </row>
    <row r="897" spans="1:10" hidden="1">
      <c r="A897">
        <v>279</v>
      </c>
      <c r="B897">
        <v>56</v>
      </c>
      <c r="J897">
        <f t="shared" si="13"/>
        <v>0</v>
      </c>
    </row>
    <row r="898" spans="1:10" hidden="1">
      <c r="A898">
        <v>280</v>
      </c>
      <c r="B898">
        <v>56</v>
      </c>
      <c r="J898">
        <f t="shared" si="13"/>
        <v>0</v>
      </c>
    </row>
    <row r="899" spans="1:10" hidden="1">
      <c r="A899">
        <v>281</v>
      </c>
      <c r="B899">
        <v>56</v>
      </c>
      <c r="J899">
        <f t="shared" ref="J899:J962" si="14">SUM(C899:I899)</f>
        <v>0</v>
      </c>
    </row>
    <row r="900" spans="1:10" hidden="1">
      <c r="A900">
        <v>282</v>
      </c>
      <c r="B900">
        <v>56</v>
      </c>
      <c r="J900">
        <f t="shared" si="14"/>
        <v>0</v>
      </c>
    </row>
    <row r="901" spans="1:10" hidden="1">
      <c r="A901">
        <v>283</v>
      </c>
      <c r="B901">
        <v>56</v>
      </c>
      <c r="J901">
        <f t="shared" si="14"/>
        <v>0</v>
      </c>
    </row>
    <row r="902" spans="1:10" hidden="1">
      <c r="A902">
        <v>239</v>
      </c>
      <c r="B902">
        <v>55</v>
      </c>
      <c r="J902">
        <f t="shared" si="14"/>
        <v>0</v>
      </c>
    </row>
    <row r="903" spans="1:10" hidden="1">
      <c r="A903">
        <v>240</v>
      </c>
      <c r="B903">
        <v>55</v>
      </c>
      <c r="J903">
        <f t="shared" si="14"/>
        <v>0</v>
      </c>
    </row>
    <row r="904" spans="1:10" hidden="1">
      <c r="A904">
        <v>241</v>
      </c>
      <c r="B904">
        <v>55</v>
      </c>
      <c r="J904">
        <f t="shared" si="14"/>
        <v>0</v>
      </c>
    </row>
    <row r="905" spans="1:10" hidden="1">
      <c r="A905">
        <v>242</v>
      </c>
      <c r="B905">
        <v>55</v>
      </c>
      <c r="J905">
        <f t="shared" si="14"/>
        <v>0</v>
      </c>
    </row>
    <row r="906" spans="1:10" hidden="1">
      <c r="A906">
        <v>243</v>
      </c>
      <c r="B906">
        <v>55</v>
      </c>
      <c r="J906">
        <f t="shared" si="14"/>
        <v>0</v>
      </c>
    </row>
    <row r="907" spans="1:10" hidden="1">
      <c r="A907">
        <v>244</v>
      </c>
      <c r="B907">
        <v>55</v>
      </c>
      <c r="J907">
        <f t="shared" si="14"/>
        <v>0</v>
      </c>
    </row>
    <row r="908" spans="1:10" hidden="1">
      <c r="A908">
        <v>245</v>
      </c>
      <c r="B908">
        <v>55</v>
      </c>
      <c r="J908">
        <f t="shared" si="14"/>
        <v>0</v>
      </c>
    </row>
    <row r="909" spans="1:10" hidden="1">
      <c r="A909">
        <v>246</v>
      </c>
      <c r="B909">
        <v>55</v>
      </c>
      <c r="J909">
        <f t="shared" si="14"/>
        <v>0</v>
      </c>
    </row>
    <row r="910" spans="1:10" hidden="1">
      <c r="A910">
        <v>247</v>
      </c>
      <c r="B910">
        <v>55</v>
      </c>
      <c r="J910">
        <f t="shared" si="14"/>
        <v>0</v>
      </c>
    </row>
    <row r="911" spans="1:10" hidden="1">
      <c r="A911">
        <v>248</v>
      </c>
      <c r="B911">
        <v>55</v>
      </c>
      <c r="J911">
        <f t="shared" si="14"/>
        <v>0</v>
      </c>
    </row>
    <row r="912" spans="1:10" hidden="1">
      <c r="A912">
        <v>249</v>
      </c>
      <c r="B912">
        <v>55</v>
      </c>
      <c r="J912">
        <f t="shared" si="14"/>
        <v>0</v>
      </c>
    </row>
    <row r="913" spans="1:10" hidden="1">
      <c r="A913">
        <v>250</v>
      </c>
      <c r="B913">
        <v>55</v>
      </c>
      <c r="J913">
        <f t="shared" si="14"/>
        <v>0</v>
      </c>
    </row>
    <row r="914" spans="1:10" hidden="1">
      <c r="A914">
        <v>251</v>
      </c>
      <c r="B914">
        <v>55</v>
      </c>
      <c r="J914">
        <f t="shared" si="14"/>
        <v>0</v>
      </c>
    </row>
    <row r="915" spans="1:10" hidden="1">
      <c r="A915">
        <v>252</v>
      </c>
      <c r="B915">
        <v>55</v>
      </c>
      <c r="J915">
        <f t="shared" si="14"/>
        <v>0</v>
      </c>
    </row>
    <row r="916" spans="1:10" hidden="1">
      <c r="A916">
        <v>253</v>
      </c>
      <c r="B916">
        <v>55</v>
      </c>
      <c r="J916">
        <f t="shared" si="14"/>
        <v>0</v>
      </c>
    </row>
    <row r="917" spans="1:10" hidden="1">
      <c r="A917">
        <v>254</v>
      </c>
      <c r="B917">
        <v>55</v>
      </c>
      <c r="J917">
        <f t="shared" si="14"/>
        <v>0</v>
      </c>
    </row>
    <row r="918" spans="1:10" hidden="1">
      <c r="A918">
        <v>255</v>
      </c>
      <c r="B918">
        <v>55</v>
      </c>
      <c r="F918">
        <v>1</v>
      </c>
      <c r="G918">
        <v>2</v>
      </c>
      <c r="I918">
        <v>1</v>
      </c>
      <c r="J918">
        <f t="shared" si="14"/>
        <v>4</v>
      </c>
    </row>
    <row r="919" spans="1:10" hidden="1">
      <c r="A919">
        <v>256</v>
      </c>
      <c r="B919">
        <v>55</v>
      </c>
      <c r="E919">
        <v>1</v>
      </c>
      <c r="F919">
        <v>1</v>
      </c>
      <c r="I919">
        <v>2</v>
      </c>
      <c r="J919">
        <f t="shared" si="14"/>
        <v>4</v>
      </c>
    </row>
    <row r="920" spans="1:10" hidden="1">
      <c r="A920">
        <v>257</v>
      </c>
      <c r="B920">
        <v>55</v>
      </c>
      <c r="F920">
        <v>1</v>
      </c>
      <c r="G920">
        <v>1</v>
      </c>
      <c r="I920">
        <v>2</v>
      </c>
      <c r="J920">
        <f t="shared" si="14"/>
        <v>4</v>
      </c>
    </row>
    <row r="921" spans="1:10" hidden="1">
      <c r="A921">
        <v>258</v>
      </c>
      <c r="B921">
        <v>55</v>
      </c>
      <c r="D921">
        <v>1</v>
      </c>
      <c r="H921">
        <v>1</v>
      </c>
      <c r="I921">
        <v>2</v>
      </c>
      <c r="J921">
        <f t="shared" si="14"/>
        <v>4</v>
      </c>
    </row>
    <row r="922" spans="1:10" hidden="1">
      <c r="A922">
        <v>259</v>
      </c>
      <c r="B922">
        <v>55</v>
      </c>
      <c r="C922">
        <v>1</v>
      </c>
      <c r="D922">
        <v>1</v>
      </c>
      <c r="E922">
        <v>1</v>
      </c>
      <c r="G922">
        <v>1</v>
      </c>
      <c r="J922">
        <f t="shared" si="14"/>
        <v>4</v>
      </c>
    </row>
    <row r="923" spans="1:10" hidden="1">
      <c r="A923">
        <v>260</v>
      </c>
      <c r="B923">
        <v>55</v>
      </c>
      <c r="J923">
        <f t="shared" si="14"/>
        <v>0</v>
      </c>
    </row>
    <row r="924" spans="1:10" hidden="1">
      <c r="A924">
        <v>261</v>
      </c>
      <c r="B924">
        <v>55</v>
      </c>
      <c r="J924">
        <f t="shared" si="14"/>
        <v>0</v>
      </c>
    </row>
    <row r="925" spans="1:10" hidden="1">
      <c r="A925">
        <v>262</v>
      </c>
      <c r="B925">
        <v>55</v>
      </c>
      <c r="J925">
        <f t="shared" si="14"/>
        <v>0</v>
      </c>
    </row>
    <row r="926" spans="1:10" hidden="1">
      <c r="A926">
        <v>263</v>
      </c>
      <c r="B926">
        <v>55</v>
      </c>
      <c r="J926">
        <f t="shared" si="14"/>
        <v>0</v>
      </c>
    </row>
    <row r="927" spans="1:10" hidden="1">
      <c r="A927">
        <v>264</v>
      </c>
      <c r="B927">
        <v>55</v>
      </c>
      <c r="J927">
        <f t="shared" si="14"/>
        <v>0</v>
      </c>
    </row>
    <row r="928" spans="1:10" hidden="1">
      <c r="A928">
        <v>265</v>
      </c>
      <c r="B928">
        <v>55</v>
      </c>
      <c r="J928">
        <f t="shared" si="14"/>
        <v>0</v>
      </c>
    </row>
    <row r="929" spans="1:10" hidden="1">
      <c r="A929">
        <v>266</v>
      </c>
      <c r="B929">
        <v>55</v>
      </c>
      <c r="J929">
        <f t="shared" si="14"/>
        <v>0</v>
      </c>
    </row>
    <row r="930" spans="1:10" hidden="1">
      <c r="A930">
        <v>267</v>
      </c>
      <c r="B930">
        <v>55</v>
      </c>
      <c r="J930">
        <f t="shared" si="14"/>
        <v>0</v>
      </c>
    </row>
    <row r="931" spans="1:10" hidden="1">
      <c r="A931">
        <v>268</v>
      </c>
      <c r="B931">
        <v>55</v>
      </c>
      <c r="C931">
        <v>1</v>
      </c>
      <c r="E931">
        <v>2</v>
      </c>
      <c r="F931">
        <v>1</v>
      </c>
      <c r="J931">
        <f t="shared" si="14"/>
        <v>4</v>
      </c>
    </row>
    <row r="932" spans="1:10" hidden="1">
      <c r="A932">
        <v>269</v>
      </c>
      <c r="B932">
        <v>55</v>
      </c>
      <c r="C932">
        <v>1</v>
      </c>
      <c r="E932">
        <v>1</v>
      </c>
      <c r="G932">
        <v>1</v>
      </c>
      <c r="H932">
        <v>1</v>
      </c>
      <c r="J932">
        <f t="shared" si="14"/>
        <v>4</v>
      </c>
    </row>
    <row r="933" spans="1:10" hidden="1">
      <c r="A933">
        <v>270</v>
      </c>
      <c r="B933">
        <v>55</v>
      </c>
      <c r="C933">
        <v>1</v>
      </c>
      <c r="D933">
        <v>1</v>
      </c>
      <c r="H933">
        <v>1</v>
      </c>
      <c r="I933">
        <v>1</v>
      </c>
      <c r="J933">
        <f t="shared" si="14"/>
        <v>4</v>
      </c>
    </row>
    <row r="934" spans="1:10" hidden="1">
      <c r="A934">
        <v>271</v>
      </c>
      <c r="B934">
        <v>55</v>
      </c>
      <c r="E934">
        <v>1</v>
      </c>
      <c r="F934">
        <v>1</v>
      </c>
      <c r="G934">
        <v>1</v>
      </c>
      <c r="I934">
        <v>1</v>
      </c>
      <c r="J934">
        <f t="shared" si="14"/>
        <v>4</v>
      </c>
    </row>
    <row r="935" spans="1:10" hidden="1">
      <c r="A935">
        <v>272</v>
      </c>
      <c r="B935">
        <v>55</v>
      </c>
      <c r="C935">
        <v>1</v>
      </c>
      <c r="D935">
        <v>1</v>
      </c>
      <c r="E935">
        <v>1</v>
      </c>
      <c r="G935">
        <v>1</v>
      </c>
      <c r="J935">
        <f t="shared" si="14"/>
        <v>4</v>
      </c>
    </row>
    <row r="936" spans="1:10" hidden="1">
      <c r="A936">
        <v>273</v>
      </c>
      <c r="B936">
        <v>55</v>
      </c>
      <c r="C936">
        <v>1</v>
      </c>
      <c r="E936">
        <v>2</v>
      </c>
      <c r="G936">
        <v>1</v>
      </c>
      <c r="J936">
        <f t="shared" si="14"/>
        <v>4</v>
      </c>
    </row>
    <row r="937" spans="1:10" hidden="1">
      <c r="A937">
        <v>274</v>
      </c>
      <c r="B937">
        <v>55</v>
      </c>
      <c r="J937">
        <f t="shared" si="14"/>
        <v>0</v>
      </c>
    </row>
    <row r="938" spans="1:10" hidden="1">
      <c r="A938">
        <v>275</v>
      </c>
      <c r="B938">
        <v>55</v>
      </c>
      <c r="J938">
        <f t="shared" si="14"/>
        <v>0</v>
      </c>
    </row>
    <row r="939" spans="1:10" hidden="1">
      <c r="A939">
        <v>276</v>
      </c>
      <c r="B939">
        <v>55</v>
      </c>
      <c r="J939">
        <f t="shared" si="14"/>
        <v>0</v>
      </c>
    </row>
    <row r="940" spans="1:10" hidden="1">
      <c r="A940">
        <v>277</v>
      </c>
      <c r="B940">
        <v>55</v>
      </c>
      <c r="J940">
        <f t="shared" si="14"/>
        <v>0</v>
      </c>
    </row>
    <row r="941" spans="1:10" hidden="1">
      <c r="A941">
        <v>278</v>
      </c>
      <c r="B941">
        <v>55</v>
      </c>
      <c r="J941">
        <f t="shared" si="14"/>
        <v>0</v>
      </c>
    </row>
    <row r="942" spans="1:10" hidden="1">
      <c r="A942">
        <v>279</v>
      </c>
      <c r="B942">
        <v>55</v>
      </c>
      <c r="J942">
        <f t="shared" si="14"/>
        <v>0</v>
      </c>
    </row>
    <row r="943" spans="1:10" hidden="1">
      <c r="A943">
        <v>280</v>
      </c>
      <c r="B943">
        <v>55</v>
      </c>
      <c r="J943">
        <f t="shared" si="14"/>
        <v>0</v>
      </c>
    </row>
    <row r="944" spans="1:10" hidden="1">
      <c r="A944">
        <v>281</v>
      </c>
      <c r="B944">
        <v>55</v>
      </c>
      <c r="J944">
        <f t="shared" si="14"/>
        <v>0</v>
      </c>
    </row>
    <row r="945" spans="1:10" hidden="1">
      <c r="A945">
        <v>282</v>
      </c>
      <c r="B945">
        <v>55</v>
      </c>
      <c r="J945">
        <f t="shared" si="14"/>
        <v>0</v>
      </c>
    </row>
    <row r="946" spans="1:10" hidden="1">
      <c r="A946">
        <v>283</v>
      </c>
      <c r="B946">
        <v>55</v>
      </c>
      <c r="J946">
        <f t="shared" si="14"/>
        <v>0</v>
      </c>
    </row>
    <row r="947" spans="1:10" hidden="1">
      <c r="A947">
        <v>239</v>
      </c>
      <c r="B947">
        <v>54</v>
      </c>
      <c r="J947">
        <f t="shared" si="14"/>
        <v>0</v>
      </c>
    </row>
    <row r="948" spans="1:10" hidden="1">
      <c r="A948">
        <v>240</v>
      </c>
      <c r="B948">
        <v>54</v>
      </c>
      <c r="J948">
        <f t="shared" si="14"/>
        <v>0</v>
      </c>
    </row>
    <row r="949" spans="1:10" hidden="1">
      <c r="A949">
        <v>241</v>
      </c>
      <c r="B949">
        <v>54</v>
      </c>
      <c r="J949">
        <f t="shared" si="14"/>
        <v>0</v>
      </c>
    </row>
    <row r="950" spans="1:10" hidden="1">
      <c r="A950">
        <v>242</v>
      </c>
      <c r="B950">
        <v>54</v>
      </c>
      <c r="J950">
        <f t="shared" si="14"/>
        <v>0</v>
      </c>
    </row>
    <row r="951" spans="1:10" hidden="1">
      <c r="A951">
        <v>243</v>
      </c>
      <c r="B951">
        <v>54</v>
      </c>
      <c r="J951">
        <f t="shared" si="14"/>
        <v>0</v>
      </c>
    </row>
    <row r="952" spans="1:10" hidden="1">
      <c r="A952">
        <v>244</v>
      </c>
      <c r="B952">
        <v>54</v>
      </c>
      <c r="J952">
        <f t="shared" si="14"/>
        <v>0</v>
      </c>
    </row>
    <row r="953" spans="1:10" hidden="1">
      <c r="A953">
        <v>245</v>
      </c>
      <c r="B953">
        <v>54</v>
      </c>
      <c r="J953">
        <f t="shared" si="14"/>
        <v>0</v>
      </c>
    </row>
    <row r="954" spans="1:10" hidden="1">
      <c r="A954">
        <v>246</v>
      </c>
      <c r="B954">
        <v>54</v>
      </c>
      <c r="J954">
        <f t="shared" si="14"/>
        <v>0</v>
      </c>
    </row>
    <row r="955" spans="1:10" hidden="1">
      <c r="A955">
        <v>247</v>
      </c>
      <c r="B955">
        <v>54</v>
      </c>
      <c r="J955">
        <f t="shared" si="14"/>
        <v>0</v>
      </c>
    </row>
    <row r="956" spans="1:10" hidden="1">
      <c r="A956">
        <v>248</v>
      </c>
      <c r="B956">
        <v>54</v>
      </c>
      <c r="J956">
        <f t="shared" si="14"/>
        <v>0</v>
      </c>
    </row>
    <row r="957" spans="1:10" hidden="1">
      <c r="A957">
        <v>249</v>
      </c>
      <c r="B957">
        <v>54</v>
      </c>
      <c r="J957">
        <f t="shared" si="14"/>
        <v>0</v>
      </c>
    </row>
    <row r="958" spans="1:10" hidden="1">
      <c r="A958">
        <v>250</v>
      </c>
      <c r="B958">
        <v>54</v>
      </c>
      <c r="J958">
        <f t="shared" si="14"/>
        <v>0</v>
      </c>
    </row>
    <row r="959" spans="1:10" hidden="1">
      <c r="A959">
        <v>251</v>
      </c>
      <c r="B959">
        <v>54</v>
      </c>
      <c r="J959">
        <f t="shared" si="14"/>
        <v>0</v>
      </c>
    </row>
    <row r="960" spans="1:10" hidden="1">
      <c r="A960">
        <v>252</v>
      </c>
      <c r="B960">
        <v>54</v>
      </c>
      <c r="J960">
        <f t="shared" si="14"/>
        <v>0</v>
      </c>
    </row>
    <row r="961" spans="1:10" hidden="1">
      <c r="A961">
        <v>253</v>
      </c>
      <c r="B961">
        <v>54</v>
      </c>
      <c r="D961">
        <v>2</v>
      </c>
      <c r="H961">
        <v>1</v>
      </c>
      <c r="I961">
        <v>1</v>
      </c>
      <c r="J961">
        <f t="shared" si="14"/>
        <v>4</v>
      </c>
    </row>
    <row r="962" spans="1:10" hidden="1">
      <c r="A962">
        <v>254</v>
      </c>
      <c r="B962">
        <v>54</v>
      </c>
      <c r="D962">
        <v>1</v>
      </c>
      <c r="E962">
        <v>1</v>
      </c>
      <c r="H962">
        <v>1</v>
      </c>
      <c r="I962">
        <v>1</v>
      </c>
      <c r="J962">
        <f t="shared" si="14"/>
        <v>4</v>
      </c>
    </row>
    <row r="963" spans="1:10" hidden="1">
      <c r="A963">
        <v>255</v>
      </c>
      <c r="B963">
        <v>54</v>
      </c>
      <c r="C963">
        <v>1</v>
      </c>
      <c r="D963">
        <v>1</v>
      </c>
      <c r="G963">
        <v>2</v>
      </c>
      <c r="J963">
        <f t="shared" ref="J963:J1026" si="15">SUM(C963:I963)</f>
        <v>4</v>
      </c>
    </row>
    <row r="964" spans="1:10" hidden="1">
      <c r="A964">
        <v>256</v>
      </c>
      <c r="B964">
        <v>54</v>
      </c>
      <c r="E964">
        <v>2</v>
      </c>
      <c r="F964">
        <v>1</v>
      </c>
      <c r="G964">
        <v>1</v>
      </c>
      <c r="J964">
        <f t="shared" si="15"/>
        <v>4</v>
      </c>
    </row>
    <row r="965" spans="1:10" hidden="1">
      <c r="A965">
        <v>257</v>
      </c>
      <c r="B965">
        <v>54</v>
      </c>
      <c r="C965">
        <v>1</v>
      </c>
      <c r="E965">
        <v>2</v>
      </c>
      <c r="H965">
        <v>1</v>
      </c>
      <c r="J965">
        <f t="shared" si="15"/>
        <v>4</v>
      </c>
    </row>
    <row r="966" spans="1:10" hidden="1">
      <c r="A966">
        <v>258</v>
      </c>
      <c r="B966">
        <v>54</v>
      </c>
      <c r="C966">
        <v>1</v>
      </c>
      <c r="D966">
        <v>1</v>
      </c>
      <c r="E966">
        <v>2</v>
      </c>
      <c r="J966">
        <f t="shared" si="15"/>
        <v>4</v>
      </c>
    </row>
    <row r="967" spans="1:10" hidden="1">
      <c r="A967">
        <v>259</v>
      </c>
      <c r="B967">
        <v>54</v>
      </c>
      <c r="E967">
        <v>1</v>
      </c>
      <c r="F967">
        <v>1</v>
      </c>
      <c r="H967">
        <v>1</v>
      </c>
      <c r="I967">
        <v>1</v>
      </c>
      <c r="J967">
        <f t="shared" si="15"/>
        <v>4</v>
      </c>
    </row>
    <row r="968" spans="1:10" hidden="1">
      <c r="A968">
        <v>260</v>
      </c>
      <c r="B968">
        <v>54</v>
      </c>
      <c r="C968">
        <v>1</v>
      </c>
      <c r="E968">
        <v>1</v>
      </c>
      <c r="F968">
        <v>1</v>
      </c>
      <c r="I968">
        <v>1</v>
      </c>
      <c r="J968">
        <f t="shared" si="15"/>
        <v>4</v>
      </c>
    </row>
    <row r="969" spans="1:10" hidden="1">
      <c r="A969">
        <v>261</v>
      </c>
      <c r="B969">
        <v>54</v>
      </c>
      <c r="J969">
        <f t="shared" si="15"/>
        <v>0</v>
      </c>
    </row>
    <row r="970" spans="1:10" hidden="1">
      <c r="A970">
        <v>262</v>
      </c>
      <c r="B970">
        <v>54</v>
      </c>
      <c r="J970">
        <f t="shared" si="15"/>
        <v>0</v>
      </c>
    </row>
    <row r="971" spans="1:10" hidden="1">
      <c r="A971">
        <v>263</v>
      </c>
      <c r="B971">
        <v>54</v>
      </c>
      <c r="J971">
        <f t="shared" si="15"/>
        <v>0</v>
      </c>
    </row>
    <row r="972" spans="1:10" hidden="1">
      <c r="A972">
        <v>264</v>
      </c>
      <c r="B972">
        <v>54</v>
      </c>
      <c r="J972">
        <f t="shared" si="15"/>
        <v>0</v>
      </c>
    </row>
    <row r="973" spans="1:10" hidden="1">
      <c r="A973">
        <v>265</v>
      </c>
      <c r="B973">
        <v>54</v>
      </c>
      <c r="J973">
        <f t="shared" si="15"/>
        <v>0</v>
      </c>
    </row>
    <row r="974" spans="1:10" hidden="1">
      <c r="A974">
        <v>266</v>
      </c>
      <c r="B974">
        <v>54</v>
      </c>
      <c r="J974">
        <f t="shared" si="15"/>
        <v>0</v>
      </c>
    </row>
    <row r="975" spans="1:10" hidden="1">
      <c r="A975">
        <v>267</v>
      </c>
      <c r="B975">
        <v>54</v>
      </c>
      <c r="J975">
        <f t="shared" si="15"/>
        <v>0</v>
      </c>
    </row>
    <row r="976" spans="1:10" hidden="1">
      <c r="A976">
        <v>268</v>
      </c>
      <c r="B976">
        <v>54</v>
      </c>
      <c r="J976">
        <f t="shared" si="15"/>
        <v>0</v>
      </c>
    </row>
    <row r="977" spans="1:10" hidden="1">
      <c r="A977">
        <v>269</v>
      </c>
      <c r="B977">
        <v>54</v>
      </c>
      <c r="C977">
        <v>1</v>
      </c>
      <c r="D977">
        <v>1</v>
      </c>
      <c r="E977">
        <v>1</v>
      </c>
      <c r="F977">
        <v>1</v>
      </c>
      <c r="J977">
        <f t="shared" si="15"/>
        <v>4</v>
      </c>
    </row>
    <row r="978" spans="1:10" hidden="1">
      <c r="A978">
        <v>270</v>
      </c>
      <c r="B978">
        <v>54</v>
      </c>
      <c r="D978">
        <v>2</v>
      </c>
      <c r="E978">
        <v>1</v>
      </c>
      <c r="H978">
        <v>1</v>
      </c>
      <c r="J978">
        <f t="shared" si="15"/>
        <v>4</v>
      </c>
    </row>
    <row r="979" spans="1:10" hidden="1">
      <c r="A979">
        <v>271</v>
      </c>
      <c r="B979">
        <v>54</v>
      </c>
      <c r="J979">
        <f t="shared" si="15"/>
        <v>0</v>
      </c>
    </row>
    <row r="980" spans="1:10" hidden="1">
      <c r="A980">
        <v>272</v>
      </c>
      <c r="B980">
        <v>54</v>
      </c>
      <c r="D980">
        <v>1</v>
      </c>
      <c r="F980">
        <v>1</v>
      </c>
      <c r="G980">
        <v>1</v>
      </c>
      <c r="I980">
        <v>1</v>
      </c>
      <c r="J980">
        <f t="shared" si="15"/>
        <v>4</v>
      </c>
    </row>
    <row r="981" spans="1:10" hidden="1">
      <c r="A981">
        <v>273</v>
      </c>
      <c r="B981">
        <v>54</v>
      </c>
      <c r="J981">
        <f t="shared" si="15"/>
        <v>0</v>
      </c>
    </row>
    <row r="982" spans="1:10" hidden="1">
      <c r="A982">
        <v>274</v>
      </c>
      <c r="B982">
        <v>54</v>
      </c>
      <c r="J982">
        <f t="shared" si="15"/>
        <v>0</v>
      </c>
    </row>
    <row r="983" spans="1:10" hidden="1">
      <c r="A983">
        <v>275</v>
      </c>
      <c r="B983">
        <v>54</v>
      </c>
      <c r="J983">
        <f t="shared" si="15"/>
        <v>0</v>
      </c>
    </row>
    <row r="984" spans="1:10" hidden="1">
      <c r="A984">
        <v>276</v>
      </c>
      <c r="B984">
        <v>54</v>
      </c>
      <c r="J984">
        <f t="shared" si="15"/>
        <v>0</v>
      </c>
    </row>
    <row r="985" spans="1:10" hidden="1">
      <c r="A985">
        <v>277</v>
      </c>
      <c r="B985">
        <v>54</v>
      </c>
      <c r="J985">
        <f t="shared" si="15"/>
        <v>0</v>
      </c>
    </row>
    <row r="986" spans="1:10" hidden="1">
      <c r="A986">
        <v>278</v>
      </c>
      <c r="B986">
        <v>54</v>
      </c>
      <c r="J986">
        <f t="shared" si="15"/>
        <v>0</v>
      </c>
    </row>
    <row r="987" spans="1:10" hidden="1">
      <c r="A987">
        <v>279</v>
      </c>
      <c r="B987">
        <v>54</v>
      </c>
      <c r="J987">
        <f t="shared" si="15"/>
        <v>0</v>
      </c>
    </row>
    <row r="988" spans="1:10" hidden="1">
      <c r="A988">
        <v>280</v>
      </c>
      <c r="B988">
        <v>54</v>
      </c>
      <c r="J988">
        <f t="shared" si="15"/>
        <v>0</v>
      </c>
    </row>
    <row r="989" spans="1:10" hidden="1">
      <c r="A989">
        <v>281</v>
      </c>
      <c r="B989">
        <v>54</v>
      </c>
      <c r="J989">
        <f t="shared" si="15"/>
        <v>0</v>
      </c>
    </row>
    <row r="990" spans="1:10" hidden="1">
      <c r="A990">
        <v>282</v>
      </c>
      <c r="B990">
        <v>54</v>
      </c>
      <c r="J990">
        <f t="shared" si="15"/>
        <v>0</v>
      </c>
    </row>
    <row r="991" spans="1:10" hidden="1">
      <c r="A991">
        <v>283</v>
      </c>
      <c r="B991">
        <v>54</v>
      </c>
      <c r="J991">
        <f t="shared" si="15"/>
        <v>0</v>
      </c>
    </row>
    <row r="992" spans="1:10" hidden="1">
      <c r="A992">
        <v>239</v>
      </c>
      <c r="B992">
        <v>53</v>
      </c>
      <c r="J992">
        <f t="shared" si="15"/>
        <v>0</v>
      </c>
    </row>
    <row r="993" spans="1:10" hidden="1">
      <c r="A993">
        <v>240</v>
      </c>
      <c r="B993">
        <v>53</v>
      </c>
      <c r="J993">
        <f t="shared" si="15"/>
        <v>0</v>
      </c>
    </row>
    <row r="994" spans="1:10" hidden="1">
      <c r="A994">
        <v>241</v>
      </c>
      <c r="B994">
        <v>53</v>
      </c>
      <c r="J994">
        <f t="shared" si="15"/>
        <v>0</v>
      </c>
    </row>
    <row r="995" spans="1:10" hidden="1">
      <c r="A995">
        <v>242</v>
      </c>
      <c r="B995">
        <v>53</v>
      </c>
      <c r="J995">
        <f t="shared" si="15"/>
        <v>0</v>
      </c>
    </row>
    <row r="996" spans="1:10" hidden="1">
      <c r="A996">
        <v>243</v>
      </c>
      <c r="B996">
        <v>53</v>
      </c>
      <c r="J996">
        <f t="shared" si="15"/>
        <v>0</v>
      </c>
    </row>
    <row r="997" spans="1:10" hidden="1">
      <c r="A997">
        <v>244</v>
      </c>
      <c r="B997">
        <v>53</v>
      </c>
      <c r="J997">
        <f t="shared" si="15"/>
        <v>0</v>
      </c>
    </row>
    <row r="998" spans="1:10" hidden="1">
      <c r="A998">
        <v>245</v>
      </c>
      <c r="B998">
        <v>53</v>
      </c>
      <c r="J998">
        <f t="shared" si="15"/>
        <v>0</v>
      </c>
    </row>
    <row r="999" spans="1:10" hidden="1">
      <c r="A999">
        <v>246</v>
      </c>
      <c r="B999">
        <v>53</v>
      </c>
      <c r="J999">
        <f t="shared" si="15"/>
        <v>0</v>
      </c>
    </row>
    <row r="1000" spans="1:10" hidden="1">
      <c r="A1000">
        <v>247</v>
      </c>
      <c r="B1000">
        <v>53</v>
      </c>
      <c r="J1000">
        <f t="shared" si="15"/>
        <v>0</v>
      </c>
    </row>
    <row r="1001" spans="1:10" hidden="1">
      <c r="A1001">
        <v>248</v>
      </c>
      <c r="B1001">
        <v>53</v>
      </c>
      <c r="J1001">
        <f t="shared" si="15"/>
        <v>0</v>
      </c>
    </row>
    <row r="1002" spans="1:10" hidden="1">
      <c r="A1002">
        <v>249</v>
      </c>
      <c r="B1002">
        <v>53</v>
      </c>
      <c r="J1002">
        <f t="shared" si="15"/>
        <v>0</v>
      </c>
    </row>
    <row r="1003" spans="1:10" hidden="1">
      <c r="A1003">
        <v>250</v>
      </c>
      <c r="B1003">
        <v>53</v>
      </c>
      <c r="J1003">
        <f t="shared" si="15"/>
        <v>0</v>
      </c>
    </row>
    <row r="1004" spans="1:10" hidden="1">
      <c r="A1004">
        <v>251</v>
      </c>
      <c r="B1004">
        <v>53</v>
      </c>
      <c r="J1004">
        <f t="shared" si="15"/>
        <v>0</v>
      </c>
    </row>
    <row r="1005" spans="1:10" hidden="1">
      <c r="A1005">
        <v>252</v>
      </c>
      <c r="B1005">
        <v>53</v>
      </c>
      <c r="C1005">
        <v>1</v>
      </c>
      <c r="D1005">
        <v>1</v>
      </c>
      <c r="F1005">
        <v>1</v>
      </c>
      <c r="G1005">
        <v>1</v>
      </c>
      <c r="J1005">
        <f t="shared" si="15"/>
        <v>4</v>
      </c>
    </row>
    <row r="1006" spans="1:10" hidden="1">
      <c r="A1006">
        <v>253</v>
      </c>
      <c r="B1006">
        <v>53</v>
      </c>
      <c r="D1006">
        <v>1</v>
      </c>
      <c r="E1006">
        <v>2</v>
      </c>
      <c r="I1006">
        <v>1</v>
      </c>
      <c r="J1006">
        <f t="shared" si="15"/>
        <v>4</v>
      </c>
    </row>
    <row r="1007" spans="1:10" hidden="1">
      <c r="A1007">
        <v>254</v>
      </c>
      <c r="B1007">
        <v>53</v>
      </c>
      <c r="C1007">
        <v>1</v>
      </c>
      <c r="E1007">
        <v>2</v>
      </c>
      <c r="G1007">
        <v>1</v>
      </c>
      <c r="J1007">
        <f t="shared" si="15"/>
        <v>4</v>
      </c>
    </row>
    <row r="1008" spans="1:10" hidden="1">
      <c r="A1008">
        <v>255</v>
      </c>
      <c r="B1008">
        <v>53</v>
      </c>
      <c r="C1008">
        <v>1</v>
      </c>
      <c r="D1008">
        <v>1</v>
      </c>
      <c r="H1008">
        <v>2</v>
      </c>
      <c r="J1008">
        <f t="shared" si="15"/>
        <v>4</v>
      </c>
    </row>
    <row r="1009" spans="1:10" hidden="1">
      <c r="A1009">
        <v>256</v>
      </c>
      <c r="B1009">
        <v>53</v>
      </c>
      <c r="F1009">
        <v>2</v>
      </c>
      <c r="H1009">
        <v>1</v>
      </c>
      <c r="I1009">
        <v>1</v>
      </c>
      <c r="J1009">
        <f t="shared" si="15"/>
        <v>4</v>
      </c>
    </row>
    <row r="1010" spans="1:10" hidden="1">
      <c r="A1010">
        <v>257</v>
      </c>
      <c r="B1010">
        <v>53</v>
      </c>
      <c r="C1010">
        <v>1</v>
      </c>
      <c r="D1010">
        <v>1</v>
      </c>
      <c r="G1010">
        <v>1</v>
      </c>
      <c r="H1010">
        <v>1</v>
      </c>
      <c r="J1010">
        <f t="shared" si="15"/>
        <v>4</v>
      </c>
    </row>
    <row r="1011" spans="1:10" hidden="1">
      <c r="A1011">
        <v>258</v>
      </c>
      <c r="B1011">
        <v>53</v>
      </c>
      <c r="J1011">
        <f t="shared" si="15"/>
        <v>0</v>
      </c>
    </row>
    <row r="1012" spans="1:10" hidden="1">
      <c r="A1012">
        <v>259</v>
      </c>
      <c r="B1012">
        <v>53</v>
      </c>
      <c r="C1012">
        <v>1</v>
      </c>
      <c r="D1012">
        <v>1</v>
      </c>
      <c r="H1012">
        <v>2</v>
      </c>
      <c r="J1012">
        <f t="shared" si="15"/>
        <v>4</v>
      </c>
    </row>
    <row r="1013" spans="1:10" hidden="1">
      <c r="A1013">
        <v>260</v>
      </c>
      <c r="B1013">
        <v>53</v>
      </c>
      <c r="D1013">
        <v>2</v>
      </c>
      <c r="G1013">
        <v>1</v>
      </c>
      <c r="I1013">
        <v>1</v>
      </c>
      <c r="J1013">
        <f t="shared" si="15"/>
        <v>4</v>
      </c>
    </row>
    <row r="1014" spans="1:10" hidden="1">
      <c r="A1014">
        <v>261</v>
      </c>
      <c r="B1014">
        <v>53</v>
      </c>
      <c r="J1014">
        <f t="shared" si="15"/>
        <v>0</v>
      </c>
    </row>
    <row r="1015" spans="1:10" hidden="1">
      <c r="A1015">
        <v>262</v>
      </c>
      <c r="B1015">
        <v>53</v>
      </c>
      <c r="J1015">
        <f t="shared" si="15"/>
        <v>0</v>
      </c>
    </row>
    <row r="1016" spans="1:10" hidden="1">
      <c r="A1016">
        <v>263</v>
      </c>
      <c r="B1016">
        <v>53</v>
      </c>
      <c r="J1016">
        <f t="shared" si="15"/>
        <v>0</v>
      </c>
    </row>
    <row r="1017" spans="1:10" hidden="1">
      <c r="A1017">
        <v>264</v>
      </c>
      <c r="B1017">
        <v>53</v>
      </c>
      <c r="J1017">
        <f t="shared" si="15"/>
        <v>0</v>
      </c>
    </row>
    <row r="1018" spans="1:10" hidden="1">
      <c r="A1018">
        <v>265</v>
      </c>
      <c r="B1018">
        <v>53</v>
      </c>
      <c r="J1018">
        <f t="shared" si="15"/>
        <v>0</v>
      </c>
    </row>
    <row r="1019" spans="1:10" hidden="1">
      <c r="A1019">
        <v>266</v>
      </c>
      <c r="B1019">
        <v>53</v>
      </c>
      <c r="J1019">
        <f t="shared" si="15"/>
        <v>0</v>
      </c>
    </row>
    <row r="1020" spans="1:10" hidden="1">
      <c r="A1020">
        <v>267</v>
      </c>
      <c r="B1020">
        <v>53</v>
      </c>
      <c r="J1020">
        <f t="shared" si="15"/>
        <v>0</v>
      </c>
    </row>
    <row r="1021" spans="1:10" hidden="1">
      <c r="A1021">
        <v>268</v>
      </c>
      <c r="B1021">
        <v>53</v>
      </c>
      <c r="J1021">
        <f t="shared" si="15"/>
        <v>0</v>
      </c>
    </row>
    <row r="1022" spans="1:10" hidden="1">
      <c r="A1022">
        <v>269</v>
      </c>
      <c r="B1022">
        <v>53</v>
      </c>
      <c r="J1022">
        <f t="shared" si="15"/>
        <v>0</v>
      </c>
    </row>
    <row r="1023" spans="1:10" hidden="1">
      <c r="A1023">
        <v>270</v>
      </c>
      <c r="B1023">
        <v>53</v>
      </c>
      <c r="D1023">
        <v>2</v>
      </c>
      <c r="E1023">
        <v>1</v>
      </c>
      <c r="G1023">
        <v>1</v>
      </c>
      <c r="J1023">
        <f t="shared" si="15"/>
        <v>4</v>
      </c>
    </row>
    <row r="1024" spans="1:10" hidden="1">
      <c r="A1024">
        <v>271</v>
      </c>
      <c r="B1024">
        <v>53</v>
      </c>
      <c r="D1024">
        <v>2</v>
      </c>
      <c r="H1024">
        <v>1</v>
      </c>
      <c r="I1024">
        <v>1</v>
      </c>
      <c r="J1024">
        <f t="shared" si="15"/>
        <v>4</v>
      </c>
    </row>
    <row r="1025" spans="1:10" hidden="1">
      <c r="A1025">
        <v>272</v>
      </c>
      <c r="B1025">
        <v>53</v>
      </c>
      <c r="C1025">
        <v>1</v>
      </c>
      <c r="D1025">
        <v>1</v>
      </c>
      <c r="E1025">
        <v>1</v>
      </c>
      <c r="I1025">
        <v>1</v>
      </c>
      <c r="J1025">
        <f t="shared" si="15"/>
        <v>4</v>
      </c>
    </row>
    <row r="1026" spans="1:10" hidden="1">
      <c r="A1026">
        <v>273</v>
      </c>
      <c r="B1026">
        <v>53</v>
      </c>
      <c r="D1026">
        <v>2</v>
      </c>
      <c r="E1026">
        <v>1</v>
      </c>
      <c r="G1026">
        <v>1</v>
      </c>
      <c r="J1026">
        <f t="shared" si="15"/>
        <v>4</v>
      </c>
    </row>
    <row r="1027" spans="1:10" hidden="1">
      <c r="A1027">
        <v>274</v>
      </c>
      <c r="B1027">
        <v>53</v>
      </c>
      <c r="J1027">
        <f t="shared" ref="J1027:J1090" si="16">SUM(C1027:I1027)</f>
        <v>0</v>
      </c>
    </row>
    <row r="1028" spans="1:10" hidden="1">
      <c r="A1028">
        <v>275</v>
      </c>
      <c r="B1028">
        <v>53</v>
      </c>
      <c r="J1028">
        <f t="shared" si="16"/>
        <v>0</v>
      </c>
    </row>
    <row r="1029" spans="1:10" hidden="1">
      <c r="A1029">
        <v>276</v>
      </c>
      <c r="B1029">
        <v>53</v>
      </c>
      <c r="J1029">
        <f t="shared" si="16"/>
        <v>0</v>
      </c>
    </row>
    <row r="1030" spans="1:10" hidden="1">
      <c r="A1030">
        <v>277</v>
      </c>
      <c r="B1030">
        <v>53</v>
      </c>
      <c r="J1030">
        <f t="shared" si="16"/>
        <v>0</v>
      </c>
    </row>
    <row r="1031" spans="1:10" hidden="1">
      <c r="A1031">
        <v>278</v>
      </c>
      <c r="B1031">
        <v>53</v>
      </c>
      <c r="J1031">
        <f t="shared" si="16"/>
        <v>0</v>
      </c>
    </row>
    <row r="1032" spans="1:10" hidden="1">
      <c r="A1032">
        <v>279</v>
      </c>
      <c r="B1032">
        <v>53</v>
      </c>
      <c r="J1032">
        <f t="shared" si="16"/>
        <v>0</v>
      </c>
    </row>
    <row r="1033" spans="1:10" hidden="1">
      <c r="A1033">
        <v>280</v>
      </c>
      <c r="B1033">
        <v>53</v>
      </c>
      <c r="J1033">
        <f t="shared" si="16"/>
        <v>0</v>
      </c>
    </row>
    <row r="1034" spans="1:10" hidden="1">
      <c r="A1034">
        <v>281</v>
      </c>
      <c r="B1034">
        <v>53</v>
      </c>
      <c r="J1034">
        <f t="shared" si="16"/>
        <v>0</v>
      </c>
    </row>
    <row r="1035" spans="1:10" hidden="1">
      <c r="A1035">
        <v>282</v>
      </c>
      <c r="B1035">
        <v>53</v>
      </c>
      <c r="J1035">
        <f t="shared" si="16"/>
        <v>0</v>
      </c>
    </row>
    <row r="1036" spans="1:10" hidden="1">
      <c r="A1036">
        <v>283</v>
      </c>
      <c r="B1036">
        <v>53</v>
      </c>
      <c r="J1036">
        <f t="shared" si="16"/>
        <v>0</v>
      </c>
    </row>
    <row r="1037" spans="1:10" hidden="1">
      <c r="A1037">
        <v>239</v>
      </c>
      <c r="B1037">
        <v>52</v>
      </c>
      <c r="J1037">
        <f t="shared" si="16"/>
        <v>0</v>
      </c>
    </row>
    <row r="1038" spans="1:10" hidden="1">
      <c r="A1038">
        <v>240</v>
      </c>
      <c r="B1038">
        <v>52</v>
      </c>
      <c r="J1038">
        <f t="shared" si="16"/>
        <v>0</v>
      </c>
    </row>
    <row r="1039" spans="1:10" hidden="1">
      <c r="A1039">
        <v>241</v>
      </c>
      <c r="B1039">
        <v>52</v>
      </c>
      <c r="J1039">
        <f t="shared" si="16"/>
        <v>0</v>
      </c>
    </row>
    <row r="1040" spans="1:10" hidden="1">
      <c r="A1040">
        <v>242</v>
      </c>
      <c r="B1040">
        <v>52</v>
      </c>
      <c r="J1040">
        <f t="shared" si="16"/>
        <v>0</v>
      </c>
    </row>
    <row r="1041" spans="1:10" hidden="1">
      <c r="A1041">
        <v>243</v>
      </c>
      <c r="B1041">
        <v>52</v>
      </c>
      <c r="J1041">
        <f t="shared" si="16"/>
        <v>0</v>
      </c>
    </row>
    <row r="1042" spans="1:10" hidden="1">
      <c r="A1042">
        <v>244</v>
      </c>
      <c r="B1042">
        <v>52</v>
      </c>
      <c r="J1042">
        <f t="shared" si="16"/>
        <v>0</v>
      </c>
    </row>
    <row r="1043" spans="1:10" hidden="1">
      <c r="A1043">
        <v>245</v>
      </c>
      <c r="B1043">
        <v>52</v>
      </c>
      <c r="J1043">
        <f t="shared" si="16"/>
        <v>0</v>
      </c>
    </row>
    <row r="1044" spans="1:10" hidden="1">
      <c r="A1044">
        <v>246</v>
      </c>
      <c r="B1044">
        <v>52</v>
      </c>
      <c r="J1044">
        <f t="shared" si="16"/>
        <v>0</v>
      </c>
    </row>
    <row r="1045" spans="1:10" hidden="1">
      <c r="A1045">
        <v>247</v>
      </c>
      <c r="B1045">
        <v>52</v>
      </c>
      <c r="J1045">
        <f t="shared" si="16"/>
        <v>0</v>
      </c>
    </row>
    <row r="1046" spans="1:10" hidden="1">
      <c r="A1046">
        <v>248</v>
      </c>
      <c r="B1046">
        <v>52</v>
      </c>
      <c r="J1046">
        <f t="shared" si="16"/>
        <v>0</v>
      </c>
    </row>
    <row r="1047" spans="1:10" hidden="1">
      <c r="A1047">
        <v>249</v>
      </c>
      <c r="B1047">
        <v>52</v>
      </c>
      <c r="J1047">
        <f t="shared" si="16"/>
        <v>0</v>
      </c>
    </row>
    <row r="1048" spans="1:10" hidden="1">
      <c r="A1048">
        <v>250</v>
      </c>
      <c r="B1048">
        <v>52</v>
      </c>
      <c r="J1048">
        <f t="shared" si="16"/>
        <v>0</v>
      </c>
    </row>
    <row r="1049" spans="1:10" hidden="1">
      <c r="A1049">
        <v>251</v>
      </c>
      <c r="B1049">
        <v>52</v>
      </c>
      <c r="C1049">
        <v>1</v>
      </c>
      <c r="E1049">
        <v>1</v>
      </c>
      <c r="F1049">
        <v>1</v>
      </c>
      <c r="I1049">
        <v>1</v>
      </c>
      <c r="J1049">
        <f t="shared" si="16"/>
        <v>4</v>
      </c>
    </row>
    <row r="1050" spans="1:10" hidden="1">
      <c r="A1050">
        <v>252</v>
      </c>
      <c r="B1050">
        <v>52</v>
      </c>
      <c r="C1050">
        <v>1</v>
      </c>
      <c r="E1050">
        <v>2</v>
      </c>
      <c r="H1050">
        <v>1</v>
      </c>
      <c r="J1050">
        <f t="shared" si="16"/>
        <v>4</v>
      </c>
    </row>
    <row r="1051" spans="1:10" hidden="1">
      <c r="A1051">
        <v>253</v>
      </c>
      <c r="B1051">
        <v>52</v>
      </c>
      <c r="C1051">
        <v>1</v>
      </c>
      <c r="D1051">
        <v>1</v>
      </c>
      <c r="G1051">
        <v>1</v>
      </c>
      <c r="H1051">
        <v>1</v>
      </c>
      <c r="J1051">
        <f t="shared" si="16"/>
        <v>4</v>
      </c>
    </row>
    <row r="1052" spans="1:10" hidden="1">
      <c r="A1052">
        <v>254</v>
      </c>
      <c r="B1052">
        <v>52</v>
      </c>
      <c r="J1052">
        <f t="shared" si="16"/>
        <v>0</v>
      </c>
    </row>
    <row r="1053" spans="1:10" hidden="1">
      <c r="A1053">
        <v>255</v>
      </c>
      <c r="B1053">
        <v>52</v>
      </c>
      <c r="C1053">
        <v>2</v>
      </c>
      <c r="D1053">
        <v>1</v>
      </c>
      <c r="I1053">
        <v>1</v>
      </c>
      <c r="J1053">
        <f t="shared" si="16"/>
        <v>4</v>
      </c>
    </row>
    <row r="1054" spans="1:10" hidden="1">
      <c r="A1054">
        <v>256</v>
      </c>
      <c r="B1054">
        <v>52</v>
      </c>
      <c r="C1054">
        <v>2</v>
      </c>
      <c r="E1054">
        <v>1</v>
      </c>
      <c r="I1054">
        <v>1</v>
      </c>
      <c r="J1054">
        <f t="shared" si="16"/>
        <v>4</v>
      </c>
    </row>
    <row r="1055" spans="1:10" hidden="1">
      <c r="A1055">
        <v>257</v>
      </c>
      <c r="B1055">
        <v>52</v>
      </c>
      <c r="C1055">
        <v>1</v>
      </c>
      <c r="F1055">
        <v>1</v>
      </c>
      <c r="G1055">
        <v>1</v>
      </c>
      <c r="H1055">
        <v>1</v>
      </c>
      <c r="J1055">
        <f t="shared" si="16"/>
        <v>4</v>
      </c>
    </row>
    <row r="1056" spans="1:10" hidden="1">
      <c r="A1056">
        <v>258</v>
      </c>
      <c r="B1056">
        <v>52</v>
      </c>
      <c r="D1056">
        <v>1</v>
      </c>
      <c r="F1056">
        <v>1</v>
      </c>
      <c r="H1056">
        <v>1</v>
      </c>
      <c r="I1056">
        <v>1</v>
      </c>
      <c r="J1056">
        <f t="shared" si="16"/>
        <v>4</v>
      </c>
    </row>
    <row r="1057" spans="1:10" hidden="1">
      <c r="A1057">
        <v>259</v>
      </c>
      <c r="B1057">
        <v>52</v>
      </c>
      <c r="D1057">
        <v>1</v>
      </c>
      <c r="E1057">
        <v>1</v>
      </c>
      <c r="F1057">
        <v>1</v>
      </c>
      <c r="H1057">
        <v>1</v>
      </c>
      <c r="J1057">
        <f t="shared" si="16"/>
        <v>4</v>
      </c>
    </row>
    <row r="1058" spans="1:10" hidden="1">
      <c r="A1058">
        <v>260</v>
      </c>
      <c r="B1058">
        <v>52</v>
      </c>
      <c r="J1058">
        <f t="shared" si="16"/>
        <v>0</v>
      </c>
    </row>
    <row r="1059" spans="1:10" hidden="1">
      <c r="A1059">
        <v>261</v>
      </c>
      <c r="B1059">
        <v>52</v>
      </c>
      <c r="J1059">
        <f t="shared" si="16"/>
        <v>0</v>
      </c>
    </row>
    <row r="1060" spans="1:10" hidden="1">
      <c r="A1060">
        <v>262</v>
      </c>
      <c r="B1060">
        <v>52</v>
      </c>
      <c r="J1060">
        <f t="shared" si="16"/>
        <v>0</v>
      </c>
    </row>
    <row r="1061" spans="1:10" hidden="1">
      <c r="A1061">
        <v>263</v>
      </c>
      <c r="B1061">
        <v>52</v>
      </c>
      <c r="J1061">
        <f t="shared" si="16"/>
        <v>0</v>
      </c>
    </row>
    <row r="1062" spans="1:10" hidden="1">
      <c r="A1062">
        <v>264</v>
      </c>
      <c r="B1062">
        <v>52</v>
      </c>
      <c r="J1062">
        <f t="shared" si="16"/>
        <v>0</v>
      </c>
    </row>
    <row r="1063" spans="1:10" hidden="1">
      <c r="A1063">
        <v>265</v>
      </c>
      <c r="B1063">
        <v>52</v>
      </c>
      <c r="J1063">
        <f t="shared" si="16"/>
        <v>0</v>
      </c>
    </row>
    <row r="1064" spans="1:10" hidden="1">
      <c r="A1064">
        <v>266</v>
      </c>
      <c r="B1064">
        <v>52</v>
      </c>
      <c r="J1064">
        <f t="shared" si="16"/>
        <v>0</v>
      </c>
    </row>
    <row r="1065" spans="1:10" hidden="1">
      <c r="A1065">
        <v>267</v>
      </c>
      <c r="B1065">
        <v>52</v>
      </c>
      <c r="J1065">
        <f t="shared" si="16"/>
        <v>0</v>
      </c>
    </row>
    <row r="1066" spans="1:10" hidden="1">
      <c r="A1066">
        <v>268</v>
      </c>
      <c r="B1066">
        <v>52</v>
      </c>
      <c r="J1066">
        <f t="shared" si="16"/>
        <v>0</v>
      </c>
    </row>
    <row r="1067" spans="1:10" hidden="1">
      <c r="A1067">
        <v>269</v>
      </c>
      <c r="B1067">
        <v>52</v>
      </c>
      <c r="J1067">
        <f t="shared" si="16"/>
        <v>0</v>
      </c>
    </row>
    <row r="1068" spans="1:10" hidden="1">
      <c r="A1068">
        <v>270</v>
      </c>
      <c r="B1068">
        <v>52</v>
      </c>
      <c r="C1068">
        <v>1</v>
      </c>
      <c r="E1068">
        <v>1</v>
      </c>
      <c r="F1068">
        <v>1</v>
      </c>
      <c r="G1068">
        <v>1</v>
      </c>
      <c r="J1068">
        <f t="shared" si="16"/>
        <v>4</v>
      </c>
    </row>
    <row r="1069" spans="1:10" hidden="1">
      <c r="A1069">
        <v>271</v>
      </c>
      <c r="B1069">
        <v>52</v>
      </c>
      <c r="C1069">
        <v>1</v>
      </c>
      <c r="D1069">
        <v>1</v>
      </c>
      <c r="F1069">
        <v>1</v>
      </c>
      <c r="I1069">
        <v>1</v>
      </c>
      <c r="J1069">
        <f t="shared" si="16"/>
        <v>4</v>
      </c>
    </row>
    <row r="1070" spans="1:10" hidden="1">
      <c r="A1070">
        <v>272</v>
      </c>
      <c r="B1070">
        <v>52</v>
      </c>
      <c r="J1070">
        <f t="shared" si="16"/>
        <v>0</v>
      </c>
    </row>
    <row r="1071" spans="1:10" hidden="1">
      <c r="A1071">
        <v>273</v>
      </c>
      <c r="B1071">
        <v>52</v>
      </c>
      <c r="G1071">
        <v>1</v>
      </c>
      <c r="H1071">
        <v>1</v>
      </c>
      <c r="I1071">
        <v>2</v>
      </c>
      <c r="J1071">
        <f t="shared" si="16"/>
        <v>4</v>
      </c>
    </row>
    <row r="1072" spans="1:10" hidden="1">
      <c r="A1072">
        <v>274</v>
      </c>
      <c r="B1072">
        <v>52</v>
      </c>
      <c r="J1072">
        <f t="shared" si="16"/>
        <v>0</v>
      </c>
    </row>
    <row r="1073" spans="1:10" hidden="1">
      <c r="A1073">
        <v>275</v>
      </c>
      <c r="B1073">
        <v>52</v>
      </c>
      <c r="J1073">
        <f t="shared" si="16"/>
        <v>0</v>
      </c>
    </row>
    <row r="1074" spans="1:10" hidden="1">
      <c r="A1074">
        <v>276</v>
      </c>
      <c r="B1074">
        <v>52</v>
      </c>
      <c r="J1074">
        <f t="shared" si="16"/>
        <v>0</v>
      </c>
    </row>
    <row r="1075" spans="1:10" hidden="1">
      <c r="A1075">
        <v>277</v>
      </c>
      <c r="B1075">
        <v>52</v>
      </c>
      <c r="J1075">
        <f t="shared" si="16"/>
        <v>0</v>
      </c>
    </row>
    <row r="1076" spans="1:10" hidden="1">
      <c r="A1076">
        <v>278</v>
      </c>
      <c r="B1076">
        <v>52</v>
      </c>
      <c r="J1076">
        <f t="shared" si="16"/>
        <v>0</v>
      </c>
    </row>
    <row r="1077" spans="1:10" hidden="1">
      <c r="A1077">
        <v>279</v>
      </c>
      <c r="B1077">
        <v>52</v>
      </c>
      <c r="J1077">
        <f t="shared" si="16"/>
        <v>0</v>
      </c>
    </row>
    <row r="1078" spans="1:10" hidden="1">
      <c r="A1078">
        <v>280</v>
      </c>
      <c r="B1078">
        <v>52</v>
      </c>
      <c r="J1078">
        <f t="shared" si="16"/>
        <v>0</v>
      </c>
    </row>
    <row r="1079" spans="1:10" hidden="1">
      <c r="A1079">
        <v>281</v>
      </c>
      <c r="B1079">
        <v>52</v>
      </c>
      <c r="J1079">
        <f t="shared" si="16"/>
        <v>0</v>
      </c>
    </row>
    <row r="1080" spans="1:10" hidden="1">
      <c r="A1080">
        <v>282</v>
      </c>
      <c r="B1080">
        <v>52</v>
      </c>
      <c r="J1080">
        <f t="shared" si="16"/>
        <v>0</v>
      </c>
    </row>
    <row r="1081" spans="1:10" hidden="1">
      <c r="A1081">
        <v>283</v>
      </c>
      <c r="B1081">
        <v>52</v>
      </c>
      <c r="J1081">
        <f t="shared" si="16"/>
        <v>0</v>
      </c>
    </row>
    <row r="1082" spans="1:10" hidden="1">
      <c r="A1082">
        <v>239</v>
      </c>
      <c r="B1082">
        <v>51</v>
      </c>
      <c r="J1082">
        <f t="shared" si="16"/>
        <v>0</v>
      </c>
    </row>
    <row r="1083" spans="1:10" hidden="1">
      <c r="A1083">
        <v>240</v>
      </c>
      <c r="B1083">
        <v>51</v>
      </c>
      <c r="J1083">
        <f t="shared" si="16"/>
        <v>0</v>
      </c>
    </row>
    <row r="1084" spans="1:10" hidden="1">
      <c r="A1084">
        <v>241</v>
      </c>
      <c r="B1084">
        <v>51</v>
      </c>
      <c r="J1084">
        <f t="shared" si="16"/>
        <v>0</v>
      </c>
    </row>
    <row r="1085" spans="1:10" hidden="1">
      <c r="A1085">
        <v>242</v>
      </c>
      <c r="B1085">
        <v>51</v>
      </c>
      <c r="J1085">
        <f t="shared" si="16"/>
        <v>0</v>
      </c>
    </row>
    <row r="1086" spans="1:10" hidden="1">
      <c r="A1086">
        <v>243</v>
      </c>
      <c r="B1086">
        <v>51</v>
      </c>
      <c r="J1086">
        <f t="shared" si="16"/>
        <v>0</v>
      </c>
    </row>
    <row r="1087" spans="1:10" hidden="1">
      <c r="A1087">
        <v>244</v>
      </c>
      <c r="B1087">
        <v>51</v>
      </c>
      <c r="J1087">
        <f t="shared" si="16"/>
        <v>0</v>
      </c>
    </row>
    <row r="1088" spans="1:10" hidden="1">
      <c r="A1088">
        <v>245</v>
      </c>
      <c r="B1088">
        <v>51</v>
      </c>
      <c r="J1088">
        <f t="shared" si="16"/>
        <v>0</v>
      </c>
    </row>
    <row r="1089" spans="1:10" hidden="1">
      <c r="A1089">
        <v>246</v>
      </c>
      <c r="B1089">
        <v>51</v>
      </c>
      <c r="J1089">
        <f t="shared" si="16"/>
        <v>0</v>
      </c>
    </row>
    <row r="1090" spans="1:10" hidden="1">
      <c r="A1090">
        <v>247</v>
      </c>
      <c r="B1090">
        <v>51</v>
      </c>
      <c r="J1090">
        <f t="shared" si="16"/>
        <v>0</v>
      </c>
    </row>
    <row r="1091" spans="1:10" hidden="1">
      <c r="A1091">
        <v>248</v>
      </c>
      <c r="B1091">
        <v>51</v>
      </c>
      <c r="J1091">
        <f t="shared" ref="J1091:J1154" si="17">SUM(C1091:I1091)</f>
        <v>0</v>
      </c>
    </row>
    <row r="1092" spans="1:10" hidden="1">
      <c r="A1092">
        <v>249</v>
      </c>
      <c r="B1092">
        <v>51</v>
      </c>
      <c r="J1092">
        <f t="shared" si="17"/>
        <v>0</v>
      </c>
    </row>
    <row r="1093" spans="1:10" hidden="1">
      <c r="A1093">
        <v>250</v>
      </c>
      <c r="B1093">
        <v>51</v>
      </c>
      <c r="J1093">
        <f t="shared" si="17"/>
        <v>0</v>
      </c>
    </row>
    <row r="1094" spans="1:10" hidden="1">
      <c r="A1094">
        <v>251</v>
      </c>
      <c r="B1094">
        <v>51</v>
      </c>
      <c r="J1094">
        <f t="shared" si="17"/>
        <v>0</v>
      </c>
    </row>
    <row r="1095" spans="1:10" hidden="1">
      <c r="A1095">
        <v>252</v>
      </c>
      <c r="B1095">
        <v>51</v>
      </c>
      <c r="J1095">
        <f t="shared" si="17"/>
        <v>0</v>
      </c>
    </row>
    <row r="1096" spans="1:10" hidden="1">
      <c r="A1096">
        <v>253</v>
      </c>
      <c r="B1096">
        <v>51</v>
      </c>
      <c r="C1096">
        <v>1</v>
      </c>
      <c r="D1096">
        <v>1</v>
      </c>
      <c r="F1096">
        <v>1</v>
      </c>
      <c r="H1096">
        <v>1</v>
      </c>
      <c r="J1096">
        <f t="shared" si="17"/>
        <v>4</v>
      </c>
    </row>
    <row r="1097" spans="1:10" hidden="1">
      <c r="A1097">
        <v>254</v>
      </c>
      <c r="B1097">
        <v>51</v>
      </c>
      <c r="E1097">
        <v>1</v>
      </c>
      <c r="F1097">
        <v>1</v>
      </c>
      <c r="G1097">
        <v>1</v>
      </c>
      <c r="I1097">
        <v>1</v>
      </c>
      <c r="J1097">
        <f t="shared" si="17"/>
        <v>4</v>
      </c>
    </row>
    <row r="1098" spans="1:10" hidden="1">
      <c r="A1098">
        <v>255</v>
      </c>
      <c r="B1098">
        <v>51</v>
      </c>
      <c r="D1098">
        <v>1</v>
      </c>
      <c r="F1098">
        <v>1</v>
      </c>
      <c r="G1098">
        <v>1</v>
      </c>
      <c r="I1098">
        <v>1</v>
      </c>
      <c r="J1098">
        <f t="shared" si="17"/>
        <v>4</v>
      </c>
    </row>
    <row r="1099" spans="1:10" hidden="1">
      <c r="A1099">
        <v>256</v>
      </c>
      <c r="B1099">
        <v>51</v>
      </c>
      <c r="C1099">
        <v>1</v>
      </c>
      <c r="D1099">
        <v>2</v>
      </c>
      <c r="F1099">
        <v>1</v>
      </c>
      <c r="J1099">
        <f t="shared" si="17"/>
        <v>4</v>
      </c>
    </row>
    <row r="1100" spans="1:10" hidden="1">
      <c r="A1100">
        <v>257</v>
      </c>
      <c r="B1100">
        <v>51</v>
      </c>
      <c r="J1100">
        <f t="shared" si="17"/>
        <v>0</v>
      </c>
    </row>
    <row r="1101" spans="1:10" hidden="1">
      <c r="A1101">
        <v>258</v>
      </c>
      <c r="B1101">
        <v>51</v>
      </c>
      <c r="C1101">
        <v>1</v>
      </c>
      <c r="E1101">
        <v>1</v>
      </c>
      <c r="G1101">
        <v>1</v>
      </c>
      <c r="H1101">
        <v>1</v>
      </c>
      <c r="J1101">
        <f t="shared" si="17"/>
        <v>4</v>
      </c>
    </row>
    <row r="1102" spans="1:10" hidden="1">
      <c r="A1102">
        <v>259</v>
      </c>
      <c r="B1102">
        <v>51</v>
      </c>
      <c r="J1102">
        <f t="shared" si="17"/>
        <v>0</v>
      </c>
    </row>
    <row r="1103" spans="1:10" hidden="1">
      <c r="A1103">
        <v>260</v>
      </c>
      <c r="B1103">
        <v>51</v>
      </c>
      <c r="J1103">
        <f t="shared" si="17"/>
        <v>0</v>
      </c>
    </row>
    <row r="1104" spans="1:10" hidden="1">
      <c r="A1104">
        <v>261</v>
      </c>
      <c r="B1104">
        <v>51</v>
      </c>
      <c r="J1104">
        <f t="shared" si="17"/>
        <v>0</v>
      </c>
    </row>
    <row r="1105" spans="1:10" hidden="1">
      <c r="A1105">
        <v>262</v>
      </c>
      <c r="B1105">
        <v>51</v>
      </c>
      <c r="J1105">
        <f t="shared" si="17"/>
        <v>0</v>
      </c>
    </row>
    <row r="1106" spans="1:10" hidden="1">
      <c r="A1106">
        <v>263</v>
      </c>
      <c r="B1106">
        <v>51</v>
      </c>
      <c r="J1106">
        <f t="shared" si="17"/>
        <v>0</v>
      </c>
    </row>
    <row r="1107" spans="1:10" hidden="1">
      <c r="A1107">
        <v>264</v>
      </c>
      <c r="B1107">
        <v>51</v>
      </c>
      <c r="J1107">
        <f t="shared" si="17"/>
        <v>0</v>
      </c>
    </row>
    <row r="1108" spans="1:10" hidden="1">
      <c r="A1108">
        <v>265</v>
      </c>
      <c r="B1108">
        <v>51</v>
      </c>
      <c r="J1108">
        <f t="shared" si="17"/>
        <v>0</v>
      </c>
    </row>
    <row r="1109" spans="1:10" hidden="1">
      <c r="A1109">
        <v>266</v>
      </c>
      <c r="B1109">
        <v>51</v>
      </c>
      <c r="J1109">
        <f t="shared" si="17"/>
        <v>0</v>
      </c>
    </row>
    <row r="1110" spans="1:10" hidden="1">
      <c r="A1110">
        <v>267</v>
      </c>
      <c r="B1110">
        <v>51</v>
      </c>
      <c r="J1110">
        <f t="shared" si="17"/>
        <v>0</v>
      </c>
    </row>
    <row r="1111" spans="1:10" hidden="1">
      <c r="A1111">
        <v>268</v>
      </c>
      <c r="B1111">
        <v>51</v>
      </c>
      <c r="J1111">
        <f t="shared" si="17"/>
        <v>0</v>
      </c>
    </row>
    <row r="1112" spans="1:10" hidden="1">
      <c r="A1112">
        <v>269</v>
      </c>
      <c r="B1112">
        <v>51</v>
      </c>
      <c r="J1112">
        <f t="shared" si="17"/>
        <v>0</v>
      </c>
    </row>
    <row r="1113" spans="1:10" hidden="1">
      <c r="A1113">
        <v>270</v>
      </c>
      <c r="B1113">
        <v>51</v>
      </c>
      <c r="D1113">
        <v>1</v>
      </c>
      <c r="E1113">
        <v>1</v>
      </c>
      <c r="G1113">
        <v>1</v>
      </c>
      <c r="I1113">
        <v>1</v>
      </c>
      <c r="J1113">
        <f t="shared" si="17"/>
        <v>4</v>
      </c>
    </row>
    <row r="1114" spans="1:10" hidden="1">
      <c r="A1114">
        <v>271</v>
      </c>
      <c r="B1114">
        <v>51</v>
      </c>
      <c r="E1114">
        <v>1</v>
      </c>
      <c r="F1114">
        <v>1</v>
      </c>
      <c r="H1114">
        <v>1</v>
      </c>
      <c r="I1114">
        <v>1</v>
      </c>
      <c r="J1114">
        <f t="shared" si="17"/>
        <v>4</v>
      </c>
    </row>
    <row r="1115" spans="1:10" hidden="1">
      <c r="A1115">
        <v>272</v>
      </c>
      <c r="B1115">
        <v>51</v>
      </c>
      <c r="D1115">
        <v>1</v>
      </c>
      <c r="H1115">
        <v>2</v>
      </c>
      <c r="I1115">
        <v>1</v>
      </c>
      <c r="J1115">
        <f t="shared" si="17"/>
        <v>4</v>
      </c>
    </row>
    <row r="1116" spans="1:10" hidden="1">
      <c r="A1116">
        <v>273</v>
      </c>
      <c r="B1116">
        <v>51</v>
      </c>
      <c r="C1116">
        <v>1</v>
      </c>
      <c r="F1116">
        <v>1</v>
      </c>
      <c r="H1116">
        <v>1</v>
      </c>
      <c r="I1116">
        <v>1</v>
      </c>
      <c r="J1116">
        <f t="shared" si="17"/>
        <v>4</v>
      </c>
    </row>
    <row r="1117" spans="1:10" hidden="1">
      <c r="A1117">
        <v>274</v>
      </c>
      <c r="B1117">
        <v>51</v>
      </c>
      <c r="J1117">
        <f t="shared" si="17"/>
        <v>0</v>
      </c>
    </row>
    <row r="1118" spans="1:10" hidden="1">
      <c r="A1118">
        <v>275</v>
      </c>
      <c r="B1118">
        <v>51</v>
      </c>
      <c r="J1118">
        <f t="shared" si="17"/>
        <v>0</v>
      </c>
    </row>
    <row r="1119" spans="1:10" hidden="1">
      <c r="A1119">
        <v>276</v>
      </c>
      <c r="B1119">
        <v>51</v>
      </c>
      <c r="J1119">
        <f t="shared" si="17"/>
        <v>0</v>
      </c>
    </row>
    <row r="1120" spans="1:10" hidden="1">
      <c r="A1120">
        <v>277</v>
      </c>
      <c r="B1120">
        <v>51</v>
      </c>
      <c r="J1120">
        <f t="shared" si="17"/>
        <v>0</v>
      </c>
    </row>
    <row r="1121" spans="1:10" hidden="1">
      <c r="A1121">
        <v>278</v>
      </c>
      <c r="B1121">
        <v>51</v>
      </c>
      <c r="J1121">
        <f t="shared" si="17"/>
        <v>0</v>
      </c>
    </row>
    <row r="1122" spans="1:10" hidden="1">
      <c r="A1122">
        <v>279</v>
      </c>
      <c r="B1122">
        <v>51</v>
      </c>
      <c r="J1122">
        <f t="shared" si="17"/>
        <v>0</v>
      </c>
    </row>
    <row r="1123" spans="1:10" hidden="1">
      <c r="A1123">
        <v>280</v>
      </c>
      <c r="B1123">
        <v>51</v>
      </c>
      <c r="J1123">
        <f t="shared" si="17"/>
        <v>0</v>
      </c>
    </row>
    <row r="1124" spans="1:10" hidden="1">
      <c r="A1124">
        <v>281</v>
      </c>
      <c r="B1124">
        <v>51</v>
      </c>
      <c r="J1124">
        <f t="shared" si="17"/>
        <v>0</v>
      </c>
    </row>
    <row r="1125" spans="1:10" hidden="1">
      <c r="A1125">
        <v>282</v>
      </c>
      <c r="B1125">
        <v>51</v>
      </c>
      <c r="J1125">
        <f t="shared" si="17"/>
        <v>0</v>
      </c>
    </row>
    <row r="1126" spans="1:10" hidden="1">
      <c r="A1126">
        <v>283</v>
      </c>
      <c r="B1126">
        <v>51</v>
      </c>
      <c r="J1126">
        <f t="shared" si="17"/>
        <v>0</v>
      </c>
    </row>
    <row r="1127" spans="1:10" hidden="1">
      <c r="A1127">
        <v>239</v>
      </c>
      <c r="B1127">
        <v>50</v>
      </c>
      <c r="J1127">
        <f t="shared" si="17"/>
        <v>0</v>
      </c>
    </row>
    <row r="1128" spans="1:10" hidden="1">
      <c r="A1128">
        <v>240</v>
      </c>
      <c r="B1128">
        <v>50</v>
      </c>
      <c r="J1128">
        <f t="shared" si="17"/>
        <v>0</v>
      </c>
    </row>
    <row r="1129" spans="1:10" hidden="1">
      <c r="A1129">
        <v>241</v>
      </c>
      <c r="B1129">
        <v>50</v>
      </c>
      <c r="J1129">
        <f t="shared" si="17"/>
        <v>0</v>
      </c>
    </row>
    <row r="1130" spans="1:10" hidden="1">
      <c r="A1130">
        <v>242</v>
      </c>
      <c r="B1130">
        <v>50</v>
      </c>
      <c r="J1130">
        <f t="shared" si="17"/>
        <v>0</v>
      </c>
    </row>
    <row r="1131" spans="1:10" hidden="1">
      <c r="A1131">
        <v>243</v>
      </c>
      <c r="B1131">
        <v>50</v>
      </c>
      <c r="J1131">
        <f t="shared" si="17"/>
        <v>0</v>
      </c>
    </row>
    <row r="1132" spans="1:10" hidden="1">
      <c r="A1132">
        <v>244</v>
      </c>
      <c r="B1132">
        <v>50</v>
      </c>
      <c r="J1132">
        <f t="shared" si="17"/>
        <v>0</v>
      </c>
    </row>
    <row r="1133" spans="1:10" hidden="1">
      <c r="A1133">
        <v>245</v>
      </c>
      <c r="B1133">
        <v>50</v>
      </c>
      <c r="J1133">
        <f t="shared" si="17"/>
        <v>0</v>
      </c>
    </row>
    <row r="1134" spans="1:10" hidden="1">
      <c r="A1134">
        <v>246</v>
      </c>
      <c r="B1134">
        <v>50</v>
      </c>
      <c r="J1134">
        <f t="shared" si="17"/>
        <v>0</v>
      </c>
    </row>
    <row r="1135" spans="1:10" hidden="1">
      <c r="A1135">
        <v>247</v>
      </c>
      <c r="B1135">
        <v>50</v>
      </c>
      <c r="J1135">
        <f t="shared" si="17"/>
        <v>0</v>
      </c>
    </row>
    <row r="1136" spans="1:10" hidden="1">
      <c r="A1136">
        <v>248</v>
      </c>
      <c r="B1136">
        <v>50</v>
      </c>
      <c r="J1136">
        <f t="shared" si="17"/>
        <v>0</v>
      </c>
    </row>
    <row r="1137" spans="1:10" hidden="1">
      <c r="A1137">
        <v>249</v>
      </c>
      <c r="B1137">
        <v>50</v>
      </c>
      <c r="J1137">
        <f t="shared" si="17"/>
        <v>0</v>
      </c>
    </row>
    <row r="1138" spans="1:10" hidden="1">
      <c r="A1138">
        <v>250</v>
      </c>
      <c r="B1138">
        <v>50</v>
      </c>
      <c r="J1138">
        <f t="shared" si="17"/>
        <v>0</v>
      </c>
    </row>
    <row r="1139" spans="1:10" hidden="1">
      <c r="A1139">
        <v>251</v>
      </c>
      <c r="B1139">
        <v>50</v>
      </c>
      <c r="J1139">
        <f t="shared" si="17"/>
        <v>0</v>
      </c>
    </row>
    <row r="1140" spans="1:10" hidden="1">
      <c r="A1140">
        <v>252</v>
      </c>
      <c r="B1140">
        <v>50</v>
      </c>
      <c r="J1140">
        <f t="shared" si="17"/>
        <v>0</v>
      </c>
    </row>
    <row r="1141" spans="1:10" hidden="1">
      <c r="A1141">
        <v>253</v>
      </c>
      <c r="B1141">
        <v>50</v>
      </c>
      <c r="D1141">
        <v>2</v>
      </c>
      <c r="E1141">
        <v>1</v>
      </c>
      <c r="H1141">
        <v>1</v>
      </c>
      <c r="J1141">
        <f t="shared" si="17"/>
        <v>4</v>
      </c>
    </row>
    <row r="1142" spans="1:10" hidden="1">
      <c r="A1142">
        <v>254</v>
      </c>
      <c r="B1142">
        <v>50</v>
      </c>
      <c r="C1142">
        <v>1</v>
      </c>
      <c r="E1142">
        <v>1</v>
      </c>
      <c r="F1142">
        <v>2</v>
      </c>
      <c r="J1142">
        <f t="shared" si="17"/>
        <v>4</v>
      </c>
    </row>
    <row r="1143" spans="1:10" hidden="1">
      <c r="A1143">
        <v>255</v>
      </c>
      <c r="B1143">
        <v>50</v>
      </c>
      <c r="C1143">
        <v>1</v>
      </c>
      <c r="E1143">
        <v>1</v>
      </c>
      <c r="I1143">
        <v>2</v>
      </c>
      <c r="J1143">
        <f t="shared" si="17"/>
        <v>4</v>
      </c>
    </row>
    <row r="1144" spans="1:10" hidden="1">
      <c r="A1144">
        <v>256</v>
      </c>
      <c r="B1144">
        <v>50</v>
      </c>
      <c r="J1144">
        <f t="shared" si="17"/>
        <v>0</v>
      </c>
    </row>
    <row r="1145" spans="1:10" hidden="1">
      <c r="A1145">
        <v>257</v>
      </c>
      <c r="B1145">
        <v>50</v>
      </c>
      <c r="J1145">
        <f t="shared" si="17"/>
        <v>0</v>
      </c>
    </row>
    <row r="1146" spans="1:10" hidden="1">
      <c r="A1146">
        <v>258</v>
      </c>
      <c r="B1146">
        <v>50</v>
      </c>
      <c r="J1146">
        <f t="shared" si="17"/>
        <v>0</v>
      </c>
    </row>
    <row r="1147" spans="1:10" hidden="1">
      <c r="A1147">
        <v>259</v>
      </c>
      <c r="B1147">
        <v>50</v>
      </c>
      <c r="J1147">
        <f t="shared" si="17"/>
        <v>0</v>
      </c>
    </row>
    <row r="1148" spans="1:10" hidden="1">
      <c r="A1148">
        <v>260</v>
      </c>
      <c r="B1148">
        <v>50</v>
      </c>
      <c r="J1148">
        <f t="shared" si="17"/>
        <v>0</v>
      </c>
    </row>
    <row r="1149" spans="1:10" hidden="1">
      <c r="A1149">
        <v>261</v>
      </c>
      <c r="B1149">
        <v>50</v>
      </c>
      <c r="J1149">
        <f t="shared" si="17"/>
        <v>0</v>
      </c>
    </row>
    <row r="1150" spans="1:10" hidden="1">
      <c r="A1150">
        <v>262</v>
      </c>
      <c r="B1150">
        <v>50</v>
      </c>
      <c r="J1150">
        <f t="shared" si="17"/>
        <v>0</v>
      </c>
    </row>
    <row r="1151" spans="1:10" hidden="1">
      <c r="A1151">
        <v>263</v>
      </c>
      <c r="B1151">
        <v>50</v>
      </c>
      <c r="J1151">
        <f t="shared" si="17"/>
        <v>0</v>
      </c>
    </row>
    <row r="1152" spans="1:10" hidden="1">
      <c r="A1152">
        <v>264</v>
      </c>
      <c r="B1152">
        <v>50</v>
      </c>
      <c r="J1152">
        <f t="shared" si="17"/>
        <v>0</v>
      </c>
    </row>
    <row r="1153" spans="1:10" hidden="1">
      <c r="A1153">
        <v>265</v>
      </c>
      <c r="B1153">
        <v>50</v>
      </c>
      <c r="J1153">
        <f t="shared" si="17"/>
        <v>0</v>
      </c>
    </row>
    <row r="1154" spans="1:10" hidden="1">
      <c r="A1154">
        <v>266</v>
      </c>
      <c r="B1154">
        <v>50</v>
      </c>
      <c r="J1154">
        <f t="shared" si="17"/>
        <v>0</v>
      </c>
    </row>
    <row r="1155" spans="1:10" hidden="1">
      <c r="A1155">
        <v>267</v>
      </c>
      <c r="B1155">
        <v>50</v>
      </c>
      <c r="J1155">
        <f t="shared" ref="J1155:J1218" si="18">SUM(C1155:I1155)</f>
        <v>0</v>
      </c>
    </row>
    <row r="1156" spans="1:10" hidden="1">
      <c r="A1156">
        <v>268</v>
      </c>
      <c r="B1156">
        <v>50</v>
      </c>
      <c r="J1156">
        <f t="shared" si="18"/>
        <v>0</v>
      </c>
    </row>
    <row r="1157" spans="1:10" hidden="1">
      <c r="A1157">
        <v>269</v>
      </c>
      <c r="B1157">
        <v>50</v>
      </c>
      <c r="J1157">
        <f t="shared" si="18"/>
        <v>0</v>
      </c>
    </row>
    <row r="1158" spans="1:10" hidden="1">
      <c r="A1158">
        <v>270</v>
      </c>
      <c r="B1158">
        <v>50</v>
      </c>
      <c r="J1158">
        <f t="shared" si="18"/>
        <v>0</v>
      </c>
    </row>
    <row r="1159" spans="1:10" hidden="1">
      <c r="A1159">
        <v>271</v>
      </c>
      <c r="B1159">
        <v>50</v>
      </c>
      <c r="J1159">
        <f t="shared" si="18"/>
        <v>0</v>
      </c>
    </row>
    <row r="1160" spans="1:10" hidden="1">
      <c r="A1160">
        <v>272</v>
      </c>
      <c r="B1160">
        <v>50</v>
      </c>
      <c r="E1160">
        <v>1</v>
      </c>
      <c r="F1160">
        <v>1</v>
      </c>
      <c r="G1160">
        <v>1</v>
      </c>
      <c r="H1160">
        <v>1</v>
      </c>
      <c r="J1160">
        <f t="shared" si="18"/>
        <v>4</v>
      </c>
    </row>
    <row r="1161" spans="1:10" hidden="1">
      <c r="A1161">
        <v>273</v>
      </c>
      <c r="B1161">
        <v>50</v>
      </c>
      <c r="C1161">
        <v>1</v>
      </c>
      <c r="H1161">
        <v>1</v>
      </c>
      <c r="I1161">
        <v>2</v>
      </c>
      <c r="J1161">
        <f t="shared" si="18"/>
        <v>4</v>
      </c>
    </row>
    <row r="1162" spans="1:10" hidden="1">
      <c r="A1162">
        <v>274</v>
      </c>
      <c r="B1162">
        <v>50</v>
      </c>
      <c r="J1162">
        <f t="shared" si="18"/>
        <v>0</v>
      </c>
    </row>
    <row r="1163" spans="1:10" hidden="1">
      <c r="A1163">
        <v>275</v>
      </c>
      <c r="B1163">
        <v>50</v>
      </c>
      <c r="J1163">
        <f t="shared" si="18"/>
        <v>0</v>
      </c>
    </row>
    <row r="1164" spans="1:10" hidden="1">
      <c r="A1164">
        <v>276</v>
      </c>
      <c r="B1164">
        <v>50</v>
      </c>
      <c r="J1164">
        <f t="shared" si="18"/>
        <v>0</v>
      </c>
    </row>
    <row r="1165" spans="1:10" hidden="1">
      <c r="A1165">
        <v>277</v>
      </c>
      <c r="B1165">
        <v>50</v>
      </c>
      <c r="J1165">
        <f t="shared" si="18"/>
        <v>0</v>
      </c>
    </row>
    <row r="1166" spans="1:10" hidden="1">
      <c r="A1166">
        <v>278</v>
      </c>
      <c r="B1166">
        <v>50</v>
      </c>
      <c r="J1166">
        <f t="shared" si="18"/>
        <v>0</v>
      </c>
    </row>
    <row r="1167" spans="1:10" hidden="1">
      <c r="A1167">
        <v>279</v>
      </c>
      <c r="B1167">
        <v>50</v>
      </c>
      <c r="J1167">
        <f t="shared" si="18"/>
        <v>0</v>
      </c>
    </row>
    <row r="1168" spans="1:10" hidden="1">
      <c r="A1168">
        <v>280</v>
      </c>
      <c r="B1168">
        <v>50</v>
      </c>
      <c r="J1168">
        <f t="shared" si="18"/>
        <v>0</v>
      </c>
    </row>
    <row r="1169" spans="1:10" hidden="1">
      <c r="A1169">
        <v>281</v>
      </c>
      <c r="B1169">
        <v>50</v>
      </c>
      <c r="J1169">
        <f t="shared" si="18"/>
        <v>0</v>
      </c>
    </row>
    <row r="1170" spans="1:10" hidden="1">
      <c r="A1170">
        <v>282</v>
      </c>
      <c r="B1170">
        <v>50</v>
      </c>
      <c r="J1170">
        <f t="shared" si="18"/>
        <v>0</v>
      </c>
    </row>
    <row r="1171" spans="1:10" hidden="1">
      <c r="A1171">
        <v>283</v>
      </c>
      <c r="B1171">
        <v>50</v>
      </c>
      <c r="J1171">
        <f t="shared" si="18"/>
        <v>0</v>
      </c>
    </row>
    <row r="1172" spans="1:10" hidden="1">
      <c r="A1172">
        <v>239</v>
      </c>
      <c r="B1172">
        <v>49</v>
      </c>
      <c r="J1172">
        <f t="shared" si="18"/>
        <v>0</v>
      </c>
    </row>
    <row r="1173" spans="1:10" hidden="1">
      <c r="A1173">
        <v>240</v>
      </c>
      <c r="B1173">
        <v>49</v>
      </c>
      <c r="J1173">
        <f t="shared" si="18"/>
        <v>0</v>
      </c>
    </row>
    <row r="1174" spans="1:10" hidden="1">
      <c r="A1174">
        <v>241</v>
      </c>
      <c r="B1174">
        <v>49</v>
      </c>
      <c r="J1174">
        <f t="shared" si="18"/>
        <v>0</v>
      </c>
    </row>
    <row r="1175" spans="1:10" hidden="1">
      <c r="A1175">
        <v>242</v>
      </c>
      <c r="B1175">
        <v>49</v>
      </c>
      <c r="J1175">
        <f t="shared" si="18"/>
        <v>0</v>
      </c>
    </row>
    <row r="1176" spans="1:10" hidden="1">
      <c r="A1176">
        <v>243</v>
      </c>
      <c r="B1176">
        <v>49</v>
      </c>
      <c r="J1176">
        <f t="shared" si="18"/>
        <v>0</v>
      </c>
    </row>
    <row r="1177" spans="1:10" hidden="1">
      <c r="A1177">
        <v>244</v>
      </c>
      <c r="B1177">
        <v>49</v>
      </c>
      <c r="J1177">
        <f t="shared" si="18"/>
        <v>0</v>
      </c>
    </row>
    <row r="1178" spans="1:10" hidden="1">
      <c r="A1178">
        <v>245</v>
      </c>
      <c r="B1178">
        <v>49</v>
      </c>
      <c r="J1178">
        <f t="shared" si="18"/>
        <v>0</v>
      </c>
    </row>
    <row r="1179" spans="1:10" hidden="1">
      <c r="A1179">
        <v>246</v>
      </c>
      <c r="B1179">
        <v>49</v>
      </c>
      <c r="J1179">
        <f t="shared" si="18"/>
        <v>0</v>
      </c>
    </row>
    <row r="1180" spans="1:10" hidden="1">
      <c r="A1180">
        <v>247</v>
      </c>
      <c r="B1180">
        <v>49</v>
      </c>
      <c r="J1180">
        <f t="shared" si="18"/>
        <v>0</v>
      </c>
    </row>
    <row r="1181" spans="1:10" hidden="1">
      <c r="A1181">
        <v>248</v>
      </c>
      <c r="B1181">
        <v>49</v>
      </c>
      <c r="J1181">
        <f t="shared" si="18"/>
        <v>0</v>
      </c>
    </row>
    <row r="1182" spans="1:10" hidden="1">
      <c r="A1182">
        <v>249</v>
      </c>
      <c r="B1182">
        <v>49</v>
      </c>
      <c r="J1182">
        <f t="shared" si="18"/>
        <v>0</v>
      </c>
    </row>
    <row r="1183" spans="1:10" hidden="1">
      <c r="A1183">
        <v>250</v>
      </c>
      <c r="B1183">
        <v>49</v>
      </c>
      <c r="J1183">
        <f t="shared" si="18"/>
        <v>0</v>
      </c>
    </row>
    <row r="1184" spans="1:10" hidden="1">
      <c r="A1184">
        <v>251</v>
      </c>
      <c r="B1184">
        <v>49</v>
      </c>
      <c r="J1184">
        <f t="shared" si="18"/>
        <v>0</v>
      </c>
    </row>
    <row r="1185" spans="1:10" hidden="1">
      <c r="A1185">
        <v>252</v>
      </c>
      <c r="B1185">
        <v>49</v>
      </c>
      <c r="J1185">
        <f t="shared" si="18"/>
        <v>0</v>
      </c>
    </row>
    <row r="1186" spans="1:10" hidden="1">
      <c r="A1186">
        <v>253</v>
      </c>
      <c r="B1186">
        <v>49</v>
      </c>
      <c r="J1186">
        <f t="shared" si="18"/>
        <v>0</v>
      </c>
    </row>
    <row r="1187" spans="1:10" hidden="1">
      <c r="A1187">
        <v>254</v>
      </c>
      <c r="B1187">
        <v>49</v>
      </c>
      <c r="J1187">
        <f t="shared" si="18"/>
        <v>0</v>
      </c>
    </row>
    <row r="1188" spans="1:10" hidden="1">
      <c r="A1188">
        <v>255</v>
      </c>
      <c r="B1188">
        <v>49</v>
      </c>
      <c r="J1188">
        <f t="shared" si="18"/>
        <v>0</v>
      </c>
    </row>
    <row r="1189" spans="1:10" hidden="1">
      <c r="A1189">
        <v>256</v>
      </c>
      <c r="B1189">
        <v>49</v>
      </c>
      <c r="J1189">
        <f t="shared" si="18"/>
        <v>0</v>
      </c>
    </row>
    <row r="1190" spans="1:10" hidden="1">
      <c r="A1190">
        <v>257</v>
      </c>
      <c r="B1190">
        <v>49</v>
      </c>
      <c r="J1190">
        <f t="shared" si="18"/>
        <v>0</v>
      </c>
    </row>
    <row r="1191" spans="1:10" hidden="1">
      <c r="A1191">
        <v>258</v>
      </c>
      <c r="B1191">
        <v>49</v>
      </c>
      <c r="J1191">
        <f t="shared" si="18"/>
        <v>0</v>
      </c>
    </row>
    <row r="1192" spans="1:10" hidden="1">
      <c r="A1192">
        <v>259</v>
      </c>
      <c r="B1192">
        <v>49</v>
      </c>
      <c r="J1192">
        <f t="shared" si="18"/>
        <v>0</v>
      </c>
    </row>
    <row r="1193" spans="1:10" hidden="1">
      <c r="A1193">
        <v>260</v>
      </c>
      <c r="B1193">
        <v>49</v>
      </c>
      <c r="J1193">
        <f t="shared" si="18"/>
        <v>0</v>
      </c>
    </row>
    <row r="1194" spans="1:10" hidden="1">
      <c r="A1194">
        <v>261</v>
      </c>
      <c r="B1194">
        <v>49</v>
      </c>
      <c r="J1194">
        <f t="shared" si="18"/>
        <v>0</v>
      </c>
    </row>
    <row r="1195" spans="1:10" hidden="1">
      <c r="A1195">
        <v>262</v>
      </c>
      <c r="B1195">
        <v>49</v>
      </c>
      <c r="J1195">
        <f t="shared" si="18"/>
        <v>0</v>
      </c>
    </row>
    <row r="1196" spans="1:10" hidden="1">
      <c r="A1196">
        <v>263</v>
      </c>
      <c r="B1196">
        <v>49</v>
      </c>
      <c r="J1196">
        <f t="shared" si="18"/>
        <v>0</v>
      </c>
    </row>
    <row r="1197" spans="1:10" hidden="1">
      <c r="A1197">
        <v>264</v>
      </c>
      <c r="B1197">
        <v>49</v>
      </c>
      <c r="J1197">
        <f t="shared" si="18"/>
        <v>0</v>
      </c>
    </row>
    <row r="1198" spans="1:10" hidden="1">
      <c r="A1198">
        <v>265</v>
      </c>
      <c r="B1198">
        <v>49</v>
      </c>
      <c r="J1198">
        <f t="shared" si="18"/>
        <v>0</v>
      </c>
    </row>
    <row r="1199" spans="1:10" hidden="1">
      <c r="A1199">
        <v>266</v>
      </c>
      <c r="B1199">
        <v>49</v>
      </c>
      <c r="J1199">
        <f t="shared" si="18"/>
        <v>0</v>
      </c>
    </row>
    <row r="1200" spans="1:10" hidden="1">
      <c r="A1200">
        <v>267</v>
      </c>
      <c r="B1200">
        <v>49</v>
      </c>
      <c r="J1200">
        <f t="shared" si="18"/>
        <v>0</v>
      </c>
    </row>
    <row r="1201" spans="1:10" hidden="1">
      <c r="A1201">
        <v>268</v>
      </c>
      <c r="B1201">
        <v>49</v>
      </c>
      <c r="J1201">
        <f t="shared" si="18"/>
        <v>0</v>
      </c>
    </row>
    <row r="1202" spans="1:10" hidden="1">
      <c r="A1202">
        <v>269</v>
      </c>
      <c r="B1202">
        <v>49</v>
      </c>
      <c r="J1202">
        <f t="shared" si="18"/>
        <v>0</v>
      </c>
    </row>
    <row r="1203" spans="1:10" hidden="1">
      <c r="A1203">
        <v>270</v>
      </c>
      <c r="B1203">
        <v>49</v>
      </c>
      <c r="J1203">
        <f t="shared" si="18"/>
        <v>0</v>
      </c>
    </row>
    <row r="1204" spans="1:10" hidden="1">
      <c r="A1204">
        <v>271</v>
      </c>
      <c r="B1204">
        <v>49</v>
      </c>
      <c r="J1204">
        <f t="shared" si="18"/>
        <v>0</v>
      </c>
    </row>
    <row r="1205" spans="1:10" hidden="1">
      <c r="A1205">
        <v>272</v>
      </c>
      <c r="B1205">
        <v>49</v>
      </c>
      <c r="J1205">
        <f t="shared" si="18"/>
        <v>0</v>
      </c>
    </row>
    <row r="1206" spans="1:10" hidden="1">
      <c r="A1206">
        <v>273</v>
      </c>
      <c r="B1206">
        <v>49</v>
      </c>
      <c r="J1206">
        <f t="shared" si="18"/>
        <v>0</v>
      </c>
    </row>
    <row r="1207" spans="1:10" hidden="1">
      <c r="A1207">
        <v>274</v>
      </c>
      <c r="B1207">
        <v>49</v>
      </c>
      <c r="J1207">
        <f t="shared" si="18"/>
        <v>0</v>
      </c>
    </row>
    <row r="1208" spans="1:10" hidden="1">
      <c r="A1208">
        <v>275</v>
      </c>
      <c r="B1208">
        <v>49</v>
      </c>
      <c r="J1208">
        <f t="shared" si="18"/>
        <v>0</v>
      </c>
    </row>
    <row r="1209" spans="1:10" hidden="1">
      <c r="A1209">
        <v>276</v>
      </c>
      <c r="B1209">
        <v>49</v>
      </c>
      <c r="J1209">
        <f t="shared" si="18"/>
        <v>0</v>
      </c>
    </row>
    <row r="1210" spans="1:10" hidden="1">
      <c r="A1210">
        <v>277</v>
      </c>
      <c r="B1210">
        <v>49</v>
      </c>
      <c r="J1210">
        <f t="shared" si="18"/>
        <v>0</v>
      </c>
    </row>
    <row r="1211" spans="1:10" hidden="1">
      <c r="A1211">
        <v>278</v>
      </c>
      <c r="B1211">
        <v>49</v>
      </c>
      <c r="J1211">
        <f t="shared" si="18"/>
        <v>0</v>
      </c>
    </row>
    <row r="1212" spans="1:10" hidden="1">
      <c r="A1212">
        <v>279</v>
      </c>
      <c r="B1212">
        <v>49</v>
      </c>
      <c r="J1212">
        <f t="shared" si="18"/>
        <v>0</v>
      </c>
    </row>
    <row r="1213" spans="1:10" hidden="1">
      <c r="A1213">
        <v>280</v>
      </c>
      <c r="B1213">
        <v>49</v>
      </c>
      <c r="J1213">
        <f t="shared" si="18"/>
        <v>0</v>
      </c>
    </row>
    <row r="1214" spans="1:10" hidden="1">
      <c r="A1214">
        <v>281</v>
      </c>
      <c r="B1214">
        <v>49</v>
      </c>
      <c r="J1214">
        <f t="shared" si="18"/>
        <v>0</v>
      </c>
    </row>
    <row r="1215" spans="1:10" hidden="1">
      <c r="A1215">
        <v>282</v>
      </c>
      <c r="B1215">
        <v>49</v>
      </c>
      <c r="J1215">
        <f t="shared" si="18"/>
        <v>0</v>
      </c>
    </row>
    <row r="1216" spans="1:10" hidden="1">
      <c r="A1216">
        <v>283</v>
      </c>
      <c r="B1216">
        <v>49</v>
      </c>
      <c r="J1216">
        <f t="shared" si="18"/>
        <v>0</v>
      </c>
    </row>
    <row r="1217" spans="1:10" hidden="1">
      <c r="A1217">
        <v>239</v>
      </c>
      <c r="B1217">
        <v>48</v>
      </c>
      <c r="J1217">
        <f t="shared" si="18"/>
        <v>0</v>
      </c>
    </row>
    <row r="1218" spans="1:10" hidden="1">
      <c r="A1218">
        <v>240</v>
      </c>
      <c r="B1218">
        <v>48</v>
      </c>
      <c r="J1218">
        <f t="shared" si="18"/>
        <v>0</v>
      </c>
    </row>
    <row r="1219" spans="1:10" hidden="1">
      <c r="A1219">
        <v>241</v>
      </c>
      <c r="B1219">
        <v>48</v>
      </c>
      <c r="J1219">
        <f t="shared" ref="J1219:J1282" si="19">SUM(C1219:I1219)</f>
        <v>0</v>
      </c>
    </row>
    <row r="1220" spans="1:10" hidden="1">
      <c r="A1220">
        <v>242</v>
      </c>
      <c r="B1220">
        <v>48</v>
      </c>
      <c r="J1220">
        <f t="shared" si="19"/>
        <v>0</v>
      </c>
    </row>
    <row r="1221" spans="1:10" hidden="1">
      <c r="A1221">
        <v>243</v>
      </c>
      <c r="B1221">
        <v>48</v>
      </c>
      <c r="J1221">
        <f t="shared" si="19"/>
        <v>0</v>
      </c>
    </row>
    <row r="1222" spans="1:10" hidden="1">
      <c r="A1222">
        <v>244</v>
      </c>
      <c r="B1222">
        <v>48</v>
      </c>
      <c r="J1222">
        <f t="shared" si="19"/>
        <v>0</v>
      </c>
    </row>
    <row r="1223" spans="1:10" hidden="1">
      <c r="A1223">
        <v>245</v>
      </c>
      <c r="B1223">
        <v>48</v>
      </c>
      <c r="J1223">
        <f t="shared" si="19"/>
        <v>0</v>
      </c>
    </row>
    <row r="1224" spans="1:10" hidden="1">
      <c r="A1224">
        <v>246</v>
      </c>
      <c r="B1224">
        <v>48</v>
      </c>
      <c r="J1224">
        <f t="shared" si="19"/>
        <v>0</v>
      </c>
    </row>
    <row r="1225" spans="1:10" hidden="1">
      <c r="A1225">
        <v>247</v>
      </c>
      <c r="B1225">
        <v>48</v>
      </c>
      <c r="J1225">
        <f t="shared" si="19"/>
        <v>0</v>
      </c>
    </row>
    <row r="1226" spans="1:10" hidden="1">
      <c r="A1226">
        <v>248</v>
      </c>
      <c r="B1226">
        <v>48</v>
      </c>
      <c r="J1226">
        <f t="shared" si="19"/>
        <v>0</v>
      </c>
    </row>
    <row r="1227" spans="1:10" hidden="1">
      <c r="A1227">
        <v>249</v>
      </c>
      <c r="B1227">
        <v>48</v>
      </c>
      <c r="J1227">
        <f t="shared" si="19"/>
        <v>0</v>
      </c>
    </row>
    <row r="1228" spans="1:10" hidden="1">
      <c r="A1228">
        <v>250</v>
      </c>
      <c r="B1228">
        <v>48</v>
      </c>
      <c r="J1228">
        <f t="shared" si="19"/>
        <v>0</v>
      </c>
    </row>
    <row r="1229" spans="1:10" hidden="1">
      <c r="A1229">
        <v>251</v>
      </c>
      <c r="B1229">
        <v>48</v>
      </c>
      <c r="J1229">
        <f t="shared" si="19"/>
        <v>0</v>
      </c>
    </row>
    <row r="1230" spans="1:10" hidden="1">
      <c r="A1230">
        <v>252</v>
      </c>
      <c r="B1230">
        <v>48</v>
      </c>
      <c r="J1230">
        <f t="shared" si="19"/>
        <v>0</v>
      </c>
    </row>
    <row r="1231" spans="1:10" hidden="1">
      <c r="A1231">
        <v>253</v>
      </c>
      <c r="B1231">
        <v>48</v>
      </c>
      <c r="J1231">
        <f t="shared" si="19"/>
        <v>0</v>
      </c>
    </row>
    <row r="1232" spans="1:10" hidden="1">
      <c r="A1232">
        <v>254</v>
      </c>
      <c r="B1232">
        <v>48</v>
      </c>
      <c r="J1232">
        <f t="shared" si="19"/>
        <v>0</v>
      </c>
    </row>
    <row r="1233" spans="1:10" hidden="1">
      <c r="A1233">
        <v>255</v>
      </c>
      <c r="B1233">
        <v>48</v>
      </c>
      <c r="J1233">
        <f t="shared" si="19"/>
        <v>0</v>
      </c>
    </row>
    <row r="1234" spans="1:10" hidden="1">
      <c r="A1234">
        <v>256</v>
      </c>
      <c r="B1234">
        <v>48</v>
      </c>
      <c r="J1234">
        <f t="shared" si="19"/>
        <v>0</v>
      </c>
    </row>
    <row r="1235" spans="1:10" hidden="1">
      <c r="A1235">
        <v>257</v>
      </c>
      <c r="B1235">
        <v>48</v>
      </c>
      <c r="J1235">
        <f t="shared" si="19"/>
        <v>0</v>
      </c>
    </row>
    <row r="1236" spans="1:10" hidden="1">
      <c r="A1236">
        <v>258</v>
      </c>
      <c r="B1236">
        <v>48</v>
      </c>
      <c r="J1236">
        <f t="shared" si="19"/>
        <v>0</v>
      </c>
    </row>
    <row r="1237" spans="1:10" hidden="1">
      <c r="A1237">
        <v>259</v>
      </c>
      <c r="B1237">
        <v>48</v>
      </c>
      <c r="J1237">
        <f t="shared" si="19"/>
        <v>0</v>
      </c>
    </row>
    <row r="1238" spans="1:10" hidden="1">
      <c r="A1238">
        <v>260</v>
      </c>
      <c r="B1238">
        <v>48</v>
      </c>
      <c r="J1238">
        <f t="shared" si="19"/>
        <v>0</v>
      </c>
    </row>
    <row r="1239" spans="1:10" hidden="1">
      <c r="A1239">
        <v>261</v>
      </c>
      <c r="B1239">
        <v>48</v>
      </c>
      <c r="J1239">
        <f t="shared" si="19"/>
        <v>0</v>
      </c>
    </row>
    <row r="1240" spans="1:10" hidden="1">
      <c r="A1240">
        <v>262</v>
      </c>
      <c r="B1240">
        <v>48</v>
      </c>
      <c r="J1240">
        <f t="shared" si="19"/>
        <v>0</v>
      </c>
    </row>
    <row r="1241" spans="1:10" hidden="1">
      <c r="A1241">
        <v>263</v>
      </c>
      <c r="B1241">
        <v>48</v>
      </c>
      <c r="J1241">
        <f t="shared" si="19"/>
        <v>0</v>
      </c>
    </row>
    <row r="1242" spans="1:10" hidden="1">
      <c r="A1242">
        <v>264</v>
      </c>
      <c r="B1242">
        <v>48</v>
      </c>
      <c r="J1242">
        <f t="shared" si="19"/>
        <v>0</v>
      </c>
    </row>
    <row r="1243" spans="1:10" hidden="1">
      <c r="A1243">
        <v>265</v>
      </c>
      <c r="B1243">
        <v>48</v>
      </c>
      <c r="J1243">
        <f t="shared" si="19"/>
        <v>0</v>
      </c>
    </row>
    <row r="1244" spans="1:10" hidden="1">
      <c r="A1244">
        <v>266</v>
      </c>
      <c r="B1244">
        <v>48</v>
      </c>
      <c r="J1244">
        <f t="shared" si="19"/>
        <v>0</v>
      </c>
    </row>
    <row r="1245" spans="1:10" hidden="1">
      <c r="A1245">
        <v>267</v>
      </c>
      <c r="B1245">
        <v>48</v>
      </c>
      <c r="J1245">
        <f t="shared" si="19"/>
        <v>0</v>
      </c>
    </row>
    <row r="1246" spans="1:10" hidden="1">
      <c r="A1246">
        <v>268</v>
      </c>
      <c r="B1246">
        <v>48</v>
      </c>
      <c r="J1246">
        <f t="shared" si="19"/>
        <v>0</v>
      </c>
    </row>
    <row r="1247" spans="1:10" hidden="1">
      <c r="A1247">
        <v>269</v>
      </c>
      <c r="B1247">
        <v>48</v>
      </c>
      <c r="J1247">
        <f t="shared" si="19"/>
        <v>0</v>
      </c>
    </row>
    <row r="1248" spans="1:10" hidden="1">
      <c r="A1248">
        <v>270</v>
      </c>
      <c r="B1248">
        <v>48</v>
      </c>
      <c r="J1248">
        <f t="shared" si="19"/>
        <v>0</v>
      </c>
    </row>
    <row r="1249" spans="1:10" hidden="1">
      <c r="A1249">
        <v>271</v>
      </c>
      <c r="B1249">
        <v>48</v>
      </c>
      <c r="J1249">
        <f t="shared" si="19"/>
        <v>0</v>
      </c>
    </row>
    <row r="1250" spans="1:10" hidden="1">
      <c r="A1250">
        <v>272</v>
      </c>
      <c r="B1250">
        <v>48</v>
      </c>
      <c r="J1250">
        <f t="shared" si="19"/>
        <v>0</v>
      </c>
    </row>
    <row r="1251" spans="1:10" hidden="1">
      <c r="A1251">
        <v>273</v>
      </c>
      <c r="B1251">
        <v>48</v>
      </c>
      <c r="J1251">
        <f t="shared" si="19"/>
        <v>0</v>
      </c>
    </row>
    <row r="1252" spans="1:10" hidden="1">
      <c r="A1252">
        <v>274</v>
      </c>
      <c r="B1252">
        <v>48</v>
      </c>
      <c r="J1252">
        <f t="shared" si="19"/>
        <v>0</v>
      </c>
    </row>
    <row r="1253" spans="1:10" hidden="1">
      <c r="A1253">
        <v>275</v>
      </c>
      <c r="B1253">
        <v>48</v>
      </c>
      <c r="J1253">
        <f t="shared" si="19"/>
        <v>0</v>
      </c>
    </row>
    <row r="1254" spans="1:10" hidden="1">
      <c r="A1254">
        <v>276</v>
      </c>
      <c r="B1254">
        <v>48</v>
      </c>
      <c r="J1254">
        <f t="shared" si="19"/>
        <v>0</v>
      </c>
    </row>
    <row r="1255" spans="1:10" hidden="1">
      <c r="A1255">
        <v>277</v>
      </c>
      <c r="B1255">
        <v>48</v>
      </c>
      <c r="J1255">
        <f t="shared" si="19"/>
        <v>0</v>
      </c>
    </row>
    <row r="1256" spans="1:10" hidden="1">
      <c r="A1256">
        <v>278</v>
      </c>
      <c r="B1256">
        <v>48</v>
      </c>
      <c r="J1256">
        <f t="shared" si="19"/>
        <v>0</v>
      </c>
    </row>
    <row r="1257" spans="1:10" hidden="1">
      <c r="A1257">
        <v>279</v>
      </c>
      <c r="B1257">
        <v>48</v>
      </c>
      <c r="J1257">
        <f t="shared" si="19"/>
        <v>0</v>
      </c>
    </row>
    <row r="1258" spans="1:10" hidden="1">
      <c r="A1258">
        <v>280</v>
      </c>
      <c r="B1258">
        <v>48</v>
      </c>
      <c r="J1258">
        <f t="shared" si="19"/>
        <v>0</v>
      </c>
    </row>
    <row r="1259" spans="1:10" hidden="1">
      <c r="A1259">
        <v>281</v>
      </c>
      <c r="B1259">
        <v>48</v>
      </c>
      <c r="J1259">
        <f t="shared" si="19"/>
        <v>0</v>
      </c>
    </row>
    <row r="1260" spans="1:10" hidden="1">
      <c r="A1260">
        <v>282</v>
      </c>
      <c r="B1260">
        <v>48</v>
      </c>
      <c r="J1260">
        <f t="shared" si="19"/>
        <v>0</v>
      </c>
    </row>
    <row r="1261" spans="1:10" hidden="1">
      <c r="A1261">
        <v>283</v>
      </c>
      <c r="B1261">
        <v>48</v>
      </c>
      <c r="J1261">
        <f t="shared" si="19"/>
        <v>0</v>
      </c>
    </row>
    <row r="1262" spans="1:10" hidden="1">
      <c r="A1262">
        <v>239</v>
      </c>
      <c r="B1262">
        <v>47</v>
      </c>
      <c r="J1262">
        <f t="shared" si="19"/>
        <v>0</v>
      </c>
    </row>
    <row r="1263" spans="1:10" hidden="1">
      <c r="A1263">
        <v>240</v>
      </c>
      <c r="B1263">
        <v>47</v>
      </c>
      <c r="J1263">
        <f t="shared" si="19"/>
        <v>0</v>
      </c>
    </row>
    <row r="1264" spans="1:10" hidden="1">
      <c r="A1264">
        <v>241</v>
      </c>
      <c r="B1264">
        <v>47</v>
      </c>
      <c r="J1264">
        <f t="shared" si="19"/>
        <v>0</v>
      </c>
    </row>
    <row r="1265" spans="1:10" hidden="1">
      <c r="A1265">
        <v>242</v>
      </c>
      <c r="B1265">
        <v>47</v>
      </c>
      <c r="J1265">
        <f t="shared" si="19"/>
        <v>0</v>
      </c>
    </row>
    <row r="1266" spans="1:10" hidden="1">
      <c r="A1266">
        <v>243</v>
      </c>
      <c r="B1266">
        <v>47</v>
      </c>
      <c r="J1266">
        <f t="shared" si="19"/>
        <v>0</v>
      </c>
    </row>
    <row r="1267" spans="1:10" hidden="1">
      <c r="A1267">
        <v>244</v>
      </c>
      <c r="B1267">
        <v>47</v>
      </c>
      <c r="J1267">
        <f t="shared" si="19"/>
        <v>0</v>
      </c>
    </row>
    <row r="1268" spans="1:10" hidden="1">
      <c r="A1268">
        <v>245</v>
      </c>
      <c r="B1268">
        <v>47</v>
      </c>
      <c r="J1268">
        <f t="shared" si="19"/>
        <v>0</v>
      </c>
    </row>
    <row r="1269" spans="1:10" hidden="1">
      <c r="A1269">
        <v>246</v>
      </c>
      <c r="B1269">
        <v>47</v>
      </c>
      <c r="J1269">
        <f t="shared" si="19"/>
        <v>0</v>
      </c>
    </row>
    <row r="1270" spans="1:10" hidden="1">
      <c r="A1270">
        <v>247</v>
      </c>
      <c r="B1270">
        <v>47</v>
      </c>
      <c r="J1270">
        <f t="shared" si="19"/>
        <v>0</v>
      </c>
    </row>
    <row r="1271" spans="1:10" hidden="1">
      <c r="A1271">
        <v>248</v>
      </c>
      <c r="B1271">
        <v>47</v>
      </c>
      <c r="J1271">
        <f t="shared" si="19"/>
        <v>0</v>
      </c>
    </row>
    <row r="1272" spans="1:10" hidden="1">
      <c r="A1272">
        <v>249</v>
      </c>
      <c r="B1272">
        <v>47</v>
      </c>
      <c r="J1272">
        <f t="shared" si="19"/>
        <v>0</v>
      </c>
    </row>
    <row r="1273" spans="1:10" hidden="1">
      <c r="A1273">
        <v>250</v>
      </c>
      <c r="B1273">
        <v>47</v>
      </c>
      <c r="J1273">
        <f t="shared" si="19"/>
        <v>0</v>
      </c>
    </row>
    <row r="1274" spans="1:10" hidden="1">
      <c r="A1274">
        <v>251</v>
      </c>
      <c r="B1274">
        <v>47</v>
      </c>
      <c r="J1274">
        <f t="shared" si="19"/>
        <v>0</v>
      </c>
    </row>
    <row r="1275" spans="1:10" hidden="1">
      <c r="A1275">
        <v>252</v>
      </c>
      <c r="B1275">
        <v>47</v>
      </c>
      <c r="J1275">
        <f t="shared" si="19"/>
        <v>0</v>
      </c>
    </row>
    <row r="1276" spans="1:10" hidden="1">
      <c r="A1276">
        <v>253</v>
      </c>
      <c r="B1276">
        <v>47</v>
      </c>
      <c r="J1276">
        <f t="shared" si="19"/>
        <v>0</v>
      </c>
    </row>
    <row r="1277" spans="1:10" hidden="1">
      <c r="A1277">
        <v>254</v>
      </c>
      <c r="B1277">
        <v>47</v>
      </c>
      <c r="J1277">
        <f t="shared" si="19"/>
        <v>0</v>
      </c>
    </row>
    <row r="1278" spans="1:10" hidden="1">
      <c r="A1278">
        <v>255</v>
      </c>
      <c r="B1278">
        <v>47</v>
      </c>
      <c r="J1278">
        <f t="shared" si="19"/>
        <v>0</v>
      </c>
    </row>
    <row r="1279" spans="1:10" hidden="1">
      <c r="A1279">
        <v>256</v>
      </c>
      <c r="B1279">
        <v>47</v>
      </c>
      <c r="J1279">
        <f t="shared" si="19"/>
        <v>0</v>
      </c>
    </row>
    <row r="1280" spans="1:10" hidden="1">
      <c r="A1280">
        <v>257</v>
      </c>
      <c r="B1280">
        <v>47</v>
      </c>
      <c r="J1280">
        <f t="shared" si="19"/>
        <v>0</v>
      </c>
    </row>
    <row r="1281" spans="1:10" hidden="1">
      <c r="A1281">
        <v>258</v>
      </c>
      <c r="B1281">
        <v>47</v>
      </c>
      <c r="J1281">
        <f t="shared" si="19"/>
        <v>0</v>
      </c>
    </row>
    <row r="1282" spans="1:10" hidden="1">
      <c r="A1282">
        <v>259</v>
      </c>
      <c r="B1282">
        <v>47</v>
      </c>
      <c r="J1282">
        <f t="shared" si="19"/>
        <v>0</v>
      </c>
    </row>
    <row r="1283" spans="1:10" hidden="1">
      <c r="A1283">
        <v>260</v>
      </c>
      <c r="B1283">
        <v>47</v>
      </c>
      <c r="J1283">
        <f t="shared" ref="J1283:J1346" si="20">SUM(C1283:I1283)</f>
        <v>0</v>
      </c>
    </row>
    <row r="1284" spans="1:10" hidden="1">
      <c r="A1284">
        <v>261</v>
      </c>
      <c r="B1284">
        <v>47</v>
      </c>
      <c r="J1284">
        <f t="shared" si="20"/>
        <v>0</v>
      </c>
    </row>
    <row r="1285" spans="1:10" hidden="1">
      <c r="A1285">
        <v>262</v>
      </c>
      <c r="B1285">
        <v>47</v>
      </c>
      <c r="J1285">
        <f t="shared" si="20"/>
        <v>0</v>
      </c>
    </row>
    <row r="1286" spans="1:10" hidden="1">
      <c r="A1286">
        <v>263</v>
      </c>
      <c r="B1286">
        <v>47</v>
      </c>
      <c r="J1286">
        <f t="shared" si="20"/>
        <v>0</v>
      </c>
    </row>
    <row r="1287" spans="1:10" hidden="1">
      <c r="A1287">
        <v>264</v>
      </c>
      <c r="B1287">
        <v>47</v>
      </c>
      <c r="J1287">
        <f t="shared" si="20"/>
        <v>0</v>
      </c>
    </row>
    <row r="1288" spans="1:10" hidden="1">
      <c r="A1288">
        <v>265</v>
      </c>
      <c r="B1288">
        <v>47</v>
      </c>
      <c r="J1288">
        <f t="shared" si="20"/>
        <v>0</v>
      </c>
    </row>
    <row r="1289" spans="1:10" hidden="1">
      <c r="A1289">
        <v>266</v>
      </c>
      <c r="B1289">
        <v>47</v>
      </c>
      <c r="J1289">
        <f t="shared" si="20"/>
        <v>0</v>
      </c>
    </row>
    <row r="1290" spans="1:10" hidden="1">
      <c r="A1290">
        <v>267</v>
      </c>
      <c r="B1290">
        <v>47</v>
      </c>
      <c r="J1290">
        <f t="shared" si="20"/>
        <v>0</v>
      </c>
    </row>
    <row r="1291" spans="1:10" hidden="1">
      <c r="A1291">
        <v>268</v>
      </c>
      <c r="B1291">
        <v>47</v>
      </c>
      <c r="J1291">
        <f t="shared" si="20"/>
        <v>0</v>
      </c>
    </row>
    <row r="1292" spans="1:10" hidden="1">
      <c r="A1292">
        <v>269</v>
      </c>
      <c r="B1292">
        <v>47</v>
      </c>
      <c r="J1292">
        <f t="shared" si="20"/>
        <v>0</v>
      </c>
    </row>
    <row r="1293" spans="1:10" hidden="1">
      <c r="A1293">
        <v>270</v>
      </c>
      <c r="B1293">
        <v>47</v>
      </c>
      <c r="J1293">
        <f t="shared" si="20"/>
        <v>0</v>
      </c>
    </row>
    <row r="1294" spans="1:10" hidden="1">
      <c r="A1294">
        <v>271</v>
      </c>
      <c r="B1294">
        <v>47</v>
      </c>
      <c r="J1294">
        <f t="shared" si="20"/>
        <v>0</v>
      </c>
    </row>
    <row r="1295" spans="1:10" hidden="1">
      <c r="A1295">
        <v>272</v>
      </c>
      <c r="B1295">
        <v>47</v>
      </c>
      <c r="J1295">
        <f t="shared" si="20"/>
        <v>0</v>
      </c>
    </row>
    <row r="1296" spans="1:10" hidden="1">
      <c r="A1296">
        <v>273</v>
      </c>
      <c r="B1296">
        <v>47</v>
      </c>
      <c r="J1296">
        <f t="shared" si="20"/>
        <v>0</v>
      </c>
    </row>
    <row r="1297" spans="1:10" hidden="1">
      <c r="A1297">
        <v>274</v>
      </c>
      <c r="B1297">
        <v>47</v>
      </c>
      <c r="J1297">
        <f t="shared" si="20"/>
        <v>0</v>
      </c>
    </row>
    <row r="1298" spans="1:10" hidden="1">
      <c r="A1298">
        <v>275</v>
      </c>
      <c r="B1298">
        <v>47</v>
      </c>
      <c r="J1298">
        <f t="shared" si="20"/>
        <v>0</v>
      </c>
    </row>
    <row r="1299" spans="1:10" hidden="1">
      <c r="A1299">
        <v>276</v>
      </c>
      <c r="B1299">
        <v>47</v>
      </c>
      <c r="J1299">
        <f t="shared" si="20"/>
        <v>0</v>
      </c>
    </row>
    <row r="1300" spans="1:10" hidden="1">
      <c r="A1300">
        <v>277</v>
      </c>
      <c r="B1300">
        <v>47</v>
      </c>
      <c r="J1300">
        <f t="shared" si="20"/>
        <v>0</v>
      </c>
    </row>
    <row r="1301" spans="1:10" hidden="1">
      <c r="A1301">
        <v>278</v>
      </c>
      <c r="B1301">
        <v>47</v>
      </c>
      <c r="J1301">
        <f t="shared" si="20"/>
        <v>0</v>
      </c>
    </row>
    <row r="1302" spans="1:10" hidden="1">
      <c r="A1302">
        <v>279</v>
      </c>
      <c r="B1302">
        <v>47</v>
      </c>
      <c r="J1302">
        <f t="shared" si="20"/>
        <v>0</v>
      </c>
    </row>
    <row r="1303" spans="1:10" hidden="1">
      <c r="A1303">
        <v>280</v>
      </c>
      <c r="B1303">
        <v>47</v>
      </c>
      <c r="J1303">
        <f t="shared" si="20"/>
        <v>0</v>
      </c>
    </row>
    <row r="1304" spans="1:10" hidden="1">
      <c r="A1304">
        <v>281</v>
      </c>
      <c r="B1304">
        <v>47</v>
      </c>
      <c r="J1304">
        <f t="shared" si="20"/>
        <v>0</v>
      </c>
    </row>
    <row r="1305" spans="1:10" hidden="1">
      <c r="A1305">
        <v>282</v>
      </c>
      <c r="B1305">
        <v>47</v>
      </c>
      <c r="J1305">
        <f t="shared" si="20"/>
        <v>0</v>
      </c>
    </row>
    <row r="1306" spans="1:10" hidden="1">
      <c r="A1306">
        <v>283</v>
      </c>
      <c r="B1306">
        <v>47</v>
      </c>
      <c r="J1306">
        <f t="shared" si="20"/>
        <v>0</v>
      </c>
    </row>
    <row r="1307" spans="1:10" hidden="1">
      <c r="A1307">
        <v>239</v>
      </c>
      <c r="B1307">
        <v>46</v>
      </c>
      <c r="J1307">
        <f t="shared" si="20"/>
        <v>0</v>
      </c>
    </row>
    <row r="1308" spans="1:10" hidden="1">
      <c r="A1308">
        <v>240</v>
      </c>
      <c r="B1308">
        <v>46</v>
      </c>
      <c r="J1308">
        <f t="shared" si="20"/>
        <v>0</v>
      </c>
    </row>
    <row r="1309" spans="1:10" hidden="1">
      <c r="A1309">
        <v>241</v>
      </c>
      <c r="B1309">
        <v>46</v>
      </c>
      <c r="J1309">
        <f t="shared" si="20"/>
        <v>0</v>
      </c>
    </row>
    <row r="1310" spans="1:10" hidden="1">
      <c r="A1310">
        <v>242</v>
      </c>
      <c r="B1310">
        <v>46</v>
      </c>
      <c r="J1310">
        <f t="shared" si="20"/>
        <v>0</v>
      </c>
    </row>
    <row r="1311" spans="1:10" hidden="1">
      <c r="A1311">
        <v>243</v>
      </c>
      <c r="B1311">
        <v>46</v>
      </c>
      <c r="J1311">
        <f t="shared" si="20"/>
        <v>0</v>
      </c>
    </row>
    <row r="1312" spans="1:10" hidden="1">
      <c r="A1312">
        <v>244</v>
      </c>
      <c r="B1312">
        <v>46</v>
      </c>
      <c r="J1312">
        <f t="shared" si="20"/>
        <v>0</v>
      </c>
    </row>
    <row r="1313" spans="1:10" hidden="1">
      <c r="A1313">
        <v>245</v>
      </c>
      <c r="B1313">
        <v>46</v>
      </c>
      <c r="J1313">
        <f t="shared" si="20"/>
        <v>0</v>
      </c>
    </row>
    <row r="1314" spans="1:10" hidden="1">
      <c r="A1314">
        <v>246</v>
      </c>
      <c r="B1314">
        <v>46</v>
      </c>
      <c r="J1314">
        <f t="shared" si="20"/>
        <v>0</v>
      </c>
    </row>
    <row r="1315" spans="1:10" hidden="1">
      <c r="A1315">
        <v>247</v>
      </c>
      <c r="B1315">
        <v>46</v>
      </c>
      <c r="J1315">
        <f t="shared" si="20"/>
        <v>0</v>
      </c>
    </row>
    <row r="1316" spans="1:10" hidden="1">
      <c r="A1316">
        <v>248</v>
      </c>
      <c r="B1316">
        <v>46</v>
      </c>
      <c r="J1316">
        <f t="shared" si="20"/>
        <v>0</v>
      </c>
    </row>
    <row r="1317" spans="1:10" hidden="1">
      <c r="A1317">
        <v>249</v>
      </c>
      <c r="B1317">
        <v>46</v>
      </c>
      <c r="J1317">
        <f t="shared" si="20"/>
        <v>0</v>
      </c>
    </row>
    <row r="1318" spans="1:10" hidden="1">
      <c r="A1318">
        <v>250</v>
      </c>
      <c r="B1318">
        <v>46</v>
      </c>
      <c r="J1318">
        <f t="shared" si="20"/>
        <v>0</v>
      </c>
    </row>
    <row r="1319" spans="1:10" hidden="1">
      <c r="A1319">
        <v>251</v>
      </c>
      <c r="B1319">
        <v>46</v>
      </c>
      <c r="J1319">
        <f t="shared" si="20"/>
        <v>0</v>
      </c>
    </row>
    <row r="1320" spans="1:10" hidden="1">
      <c r="A1320">
        <v>252</v>
      </c>
      <c r="B1320">
        <v>46</v>
      </c>
      <c r="J1320">
        <f t="shared" si="20"/>
        <v>0</v>
      </c>
    </row>
    <row r="1321" spans="1:10" hidden="1">
      <c r="A1321">
        <v>253</v>
      </c>
      <c r="B1321">
        <v>46</v>
      </c>
      <c r="J1321">
        <f t="shared" si="20"/>
        <v>0</v>
      </c>
    </row>
    <row r="1322" spans="1:10" hidden="1">
      <c r="A1322">
        <v>254</v>
      </c>
      <c r="B1322">
        <v>46</v>
      </c>
      <c r="J1322">
        <f t="shared" si="20"/>
        <v>0</v>
      </c>
    </row>
    <row r="1323" spans="1:10" hidden="1">
      <c r="A1323">
        <v>255</v>
      </c>
      <c r="B1323">
        <v>46</v>
      </c>
      <c r="J1323">
        <f t="shared" si="20"/>
        <v>0</v>
      </c>
    </row>
    <row r="1324" spans="1:10" hidden="1">
      <c r="A1324">
        <v>256</v>
      </c>
      <c r="B1324">
        <v>46</v>
      </c>
      <c r="J1324">
        <f t="shared" si="20"/>
        <v>0</v>
      </c>
    </row>
    <row r="1325" spans="1:10" hidden="1">
      <c r="A1325">
        <v>257</v>
      </c>
      <c r="B1325">
        <v>46</v>
      </c>
      <c r="J1325">
        <f t="shared" si="20"/>
        <v>0</v>
      </c>
    </row>
    <row r="1326" spans="1:10" hidden="1">
      <c r="A1326">
        <v>258</v>
      </c>
      <c r="B1326">
        <v>46</v>
      </c>
      <c r="J1326">
        <f t="shared" si="20"/>
        <v>0</v>
      </c>
    </row>
    <row r="1327" spans="1:10" hidden="1">
      <c r="A1327">
        <v>259</v>
      </c>
      <c r="B1327">
        <v>46</v>
      </c>
      <c r="J1327">
        <f t="shared" si="20"/>
        <v>0</v>
      </c>
    </row>
    <row r="1328" spans="1:10" hidden="1">
      <c r="A1328">
        <v>260</v>
      </c>
      <c r="B1328">
        <v>46</v>
      </c>
      <c r="J1328">
        <f t="shared" si="20"/>
        <v>0</v>
      </c>
    </row>
    <row r="1329" spans="1:10" hidden="1">
      <c r="A1329">
        <v>261</v>
      </c>
      <c r="B1329">
        <v>46</v>
      </c>
      <c r="J1329">
        <f t="shared" si="20"/>
        <v>0</v>
      </c>
    </row>
    <row r="1330" spans="1:10" hidden="1">
      <c r="A1330">
        <v>262</v>
      </c>
      <c r="B1330">
        <v>46</v>
      </c>
      <c r="J1330">
        <f t="shared" si="20"/>
        <v>0</v>
      </c>
    </row>
    <row r="1331" spans="1:10" hidden="1">
      <c r="A1331">
        <v>263</v>
      </c>
      <c r="B1331">
        <v>46</v>
      </c>
      <c r="J1331">
        <f t="shared" si="20"/>
        <v>0</v>
      </c>
    </row>
    <row r="1332" spans="1:10" hidden="1">
      <c r="A1332">
        <v>264</v>
      </c>
      <c r="B1332">
        <v>46</v>
      </c>
      <c r="J1332">
        <f t="shared" si="20"/>
        <v>0</v>
      </c>
    </row>
    <row r="1333" spans="1:10" hidden="1">
      <c r="A1333">
        <v>265</v>
      </c>
      <c r="B1333">
        <v>46</v>
      </c>
      <c r="J1333">
        <f t="shared" si="20"/>
        <v>0</v>
      </c>
    </row>
    <row r="1334" spans="1:10" hidden="1">
      <c r="A1334">
        <v>266</v>
      </c>
      <c r="B1334">
        <v>46</v>
      </c>
      <c r="J1334">
        <f t="shared" si="20"/>
        <v>0</v>
      </c>
    </row>
    <row r="1335" spans="1:10" hidden="1">
      <c r="A1335">
        <v>267</v>
      </c>
      <c r="B1335">
        <v>46</v>
      </c>
      <c r="J1335">
        <f t="shared" si="20"/>
        <v>0</v>
      </c>
    </row>
    <row r="1336" spans="1:10" hidden="1">
      <c r="A1336">
        <v>268</v>
      </c>
      <c r="B1336">
        <v>46</v>
      </c>
      <c r="J1336">
        <f t="shared" si="20"/>
        <v>0</v>
      </c>
    </row>
    <row r="1337" spans="1:10" hidden="1">
      <c r="A1337">
        <v>269</v>
      </c>
      <c r="B1337">
        <v>46</v>
      </c>
      <c r="J1337">
        <f t="shared" si="20"/>
        <v>0</v>
      </c>
    </row>
    <row r="1338" spans="1:10" hidden="1">
      <c r="A1338">
        <v>270</v>
      </c>
      <c r="B1338">
        <v>46</v>
      </c>
      <c r="J1338">
        <f t="shared" si="20"/>
        <v>0</v>
      </c>
    </row>
    <row r="1339" spans="1:10" hidden="1">
      <c r="A1339">
        <v>271</v>
      </c>
      <c r="B1339">
        <v>46</v>
      </c>
      <c r="J1339">
        <f t="shared" si="20"/>
        <v>0</v>
      </c>
    </row>
    <row r="1340" spans="1:10" hidden="1">
      <c r="A1340">
        <v>272</v>
      </c>
      <c r="B1340">
        <v>46</v>
      </c>
      <c r="J1340">
        <f t="shared" si="20"/>
        <v>0</v>
      </c>
    </row>
    <row r="1341" spans="1:10" hidden="1">
      <c r="A1341">
        <v>273</v>
      </c>
      <c r="B1341">
        <v>46</v>
      </c>
      <c r="J1341">
        <f t="shared" si="20"/>
        <v>0</v>
      </c>
    </row>
    <row r="1342" spans="1:10" hidden="1">
      <c r="A1342">
        <v>274</v>
      </c>
      <c r="B1342">
        <v>46</v>
      </c>
      <c r="J1342">
        <f t="shared" si="20"/>
        <v>0</v>
      </c>
    </row>
    <row r="1343" spans="1:10" hidden="1">
      <c r="A1343">
        <v>275</v>
      </c>
      <c r="B1343">
        <v>46</v>
      </c>
      <c r="J1343">
        <f t="shared" si="20"/>
        <v>0</v>
      </c>
    </row>
    <row r="1344" spans="1:10" hidden="1">
      <c r="A1344">
        <v>276</v>
      </c>
      <c r="B1344">
        <v>46</v>
      </c>
      <c r="J1344">
        <f t="shared" si="20"/>
        <v>0</v>
      </c>
    </row>
    <row r="1345" spans="1:10" hidden="1">
      <c r="A1345">
        <v>277</v>
      </c>
      <c r="B1345">
        <v>46</v>
      </c>
      <c r="J1345">
        <f t="shared" si="20"/>
        <v>0</v>
      </c>
    </row>
    <row r="1346" spans="1:10" hidden="1">
      <c r="A1346">
        <v>278</v>
      </c>
      <c r="B1346">
        <v>46</v>
      </c>
      <c r="J1346">
        <f t="shared" si="20"/>
        <v>0</v>
      </c>
    </row>
    <row r="1347" spans="1:10" hidden="1">
      <c r="A1347">
        <v>279</v>
      </c>
      <c r="B1347">
        <v>46</v>
      </c>
      <c r="J1347">
        <f t="shared" ref="J1347:J1351" si="21">SUM(C1347:I1347)</f>
        <v>0</v>
      </c>
    </row>
    <row r="1348" spans="1:10" hidden="1">
      <c r="A1348">
        <v>280</v>
      </c>
      <c r="B1348">
        <v>46</v>
      </c>
      <c r="J1348">
        <f t="shared" si="21"/>
        <v>0</v>
      </c>
    </row>
    <row r="1349" spans="1:10" hidden="1">
      <c r="A1349">
        <v>281</v>
      </c>
      <c r="B1349">
        <v>46</v>
      </c>
      <c r="J1349">
        <f t="shared" si="21"/>
        <v>0</v>
      </c>
    </row>
    <row r="1350" spans="1:10" hidden="1">
      <c r="A1350">
        <v>282</v>
      </c>
      <c r="B1350">
        <v>46</v>
      </c>
      <c r="J1350">
        <f t="shared" si="21"/>
        <v>0</v>
      </c>
    </row>
    <row r="1351" spans="1:10" hidden="1">
      <c r="A1351">
        <v>283</v>
      </c>
      <c r="B1351">
        <v>46</v>
      </c>
      <c r="J1351">
        <f t="shared" si="21"/>
        <v>0</v>
      </c>
    </row>
    <row r="1352" spans="1:10" hidden="1"/>
    <row r="1353" spans="1:10" hidden="1"/>
    <row r="1354" spans="1:10" hidden="1"/>
    <row r="1355" spans="1:10" hidden="1"/>
    <row r="1356" spans="1:10" hidden="1"/>
    <row r="1357" spans="1:10" hidden="1"/>
    <row r="1358" spans="1:10" hidden="1"/>
    <row r="1359" spans="1:10" hidden="1"/>
    <row r="1360" spans="1:1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sheetData>
  <autoFilter ref="A1:J1426">
    <filterColumn colId="2">
      <customFilters>
        <customFilter operator="notEqual" val=" "/>
      </customFilters>
    </filterColumn>
    <filterColumn colId="4">
      <customFilters>
        <customFilter operator="notEqual" val=" "/>
      </customFilters>
    </filterColumn>
    <filterColumn colId="6">
      <filters>
        <filter val="1"/>
      </filters>
    </filterColumn>
    <filterColumn colId="8">
      <filters>
        <filter val="1"/>
      </filters>
    </filterColumn>
    <filterColumn colId="9">
      <filters>
        <filter val="4"/>
      </filters>
    </filterColumn>
  </autoFilter>
  <pageMargins left="0.7" right="0.7" top="0.75" bottom="0.75" header="0.3" footer="0.3"/>
  <ignoredErrors>
    <ignoredError sqref="J160:J1186 J66:J158" formulaRange="1"/>
  </ignoredErrors>
</worksheet>
</file>

<file path=xl/worksheets/sheet5.xml><?xml version="1.0" encoding="utf-8"?>
<worksheet xmlns="http://schemas.openxmlformats.org/spreadsheetml/2006/main" xmlns:r="http://schemas.openxmlformats.org/officeDocument/2006/relationships">
  <sheetPr codeName="Feuil4"/>
  <dimension ref="A1:L3"/>
  <sheetViews>
    <sheetView workbookViewId="0">
      <selection activeCell="H36" sqref="H36"/>
    </sheetView>
  </sheetViews>
  <sheetFormatPr baseColWidth="10" defaultRowHeight="15"/>
  <cols>
    <col min="1" max="1" width="7" bestFit="1" customWidth="1"/>
    <col min="2" max="2" width="4.5703125" bestFit="1" customWidth="1"/>
    <col min="3" max="3" width="7.42578125" bestFit="1" customWidth="1"/>
    <col min="4" max="6" width="3.42578125" bestFit="1" customWidth="1"/>
    <col min="7" max="7" width="8.5703125" customWidth="1"/>
    <col min="8" max="11" width="3.140625" bestFit="1" customWidth="1"/>
    <col min="12" max="12" width="2.140625" bestFit="1" customWidth="1"/>
  </cols>
  <sheetData>
    <row r="1" spans="1:12">
      <c r="A1" s="350"/>
      <c r="B1" s="350"/>
      <c r="C1" s="302"/>
      <c r="D1" s="315" t="s">
        <v>130</v>
      </c>
      <c r="E1" s="316"/>
      <c r="F1" s="316"/>
      <c r="G1" s="317"/>
      <c r="H1" s="336" t="s">
        <v>132</v>
      </c>
      <c r="I1" s="337"/>
      <c r="J1" s="337"/>
      <c r="K1" s="337"/>
      <c r="L1" s="338"/>
    </row>
    <row r="2" spans="1:12" ht="15.75" thickBot="1">
      <c r="A2" s="2" t="s">
        <v>13</v>
      </c>
      <c r="B2" s="23" t="s">
        <v>14</v>
      </c>
      <c r="C2" s="98" t="s">
        <v>70</v>
      </c>
      <c r="D2" s="318" t="s">
        <v>131</v>
      </c>
      <c r="E2" s="319"/>
      <c r="F2" s="319"/>
      <c r="G2" s="320"/>
      <c r="H2" s="342" t="s">
        <v>131</v>
      </c>
      <c r="I2" s="343"/>
      <c r="J2" s="343"/>
      <c r="K2" s="343"/>
      <c r="L2" s="344"/>
    </row>
    <row r="3" spans="1:12">
      <c r="A3" s="197"/>
      <c r="B3" s="34"/>
      <c r="C3" s="34"/>
      <c r="D3" s="34" t="s">
        <v>127</v>
      </c>
      <c r="E3" s="34" t="s">
        <v>128</v>
      </c>
      <c r="F3" s="198" t="s">
        <v>129</v>
      </c>
      <c r="G3" s="199" t="s">
        <v>54</v>
      </c>
      <c r="H3" s="34" t="s">
        <v>133</v>
      </c>
      <c r="I3" s="198" t="s">
        <v>134</v>
      </c>
      <c r="J3" s="200" t="s">
        <v>135</v>
      </c>
      <c r="K3" s="201" t="s">
        <v>136</v>
      </c>
      <c r="L3" s="199" t="s">
        <v>137</v>
      </c>
    </row>
  </sheetData>
  <mergeCells count="5">
    <mergeCell ref="D2:G2"/>
    <mergeCell ref="H2:L2"/>
    <mergeCell ref="A1:C1"/>
    <mergeCell ref="D1:G1"/>
    <mergeCell ref="H1:L1"/>
  </mergeCells>
  <conditionalFormatting sqref="D1:L3">
    <cfRule type="cellIs" dxfId="0" priority="1" operator="equal">
      <formula>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Ressources</vt:lpstr>
      <vt:lpstr>Synthèse</vt:lpstr>
      <vt:lpstr>Cartographie</vt:lpstr>
      <vt:lpstr>Recherche Mine</vt:lpstr>
      <vt:lpstr>Feuil1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Tibz</dc:creator>
  <cp:lastModifiedBy>Tibz</cp:lastModifiedBy>
  <dcterms:created xsi:type="dcterms:W3CDTF">2009-06-27T20:28:10Z</dcterms:created>
  <dcterms:modified xsi:type="dcterms:W3CDTF">2009-07-28T16:14:45Z</dcterms:modified>
</cp:coreProperties>
</file>