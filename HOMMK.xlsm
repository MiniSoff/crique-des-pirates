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Mine'!$C$1:$I$1351</definedName>
    <definedName name="_xlnm._FilterDatabase" localSheetId="0" hidden="1">Ressources!$A$3:$B$3</definedName>
    <definedName name="_xlnm._FilterDatabase" localSheetId="1" hidden="1">Synthèse!$P$3:$V$18</definedName>
  </definedNames>
  <calcPr calcId="125725"/>
</workbook>
</file>

<file path=xl/calcChain.xml><?xml version="1.0" encoding="utf-8"?>
<calcChain xmlns="http://schemas.openxmlformats.org/spreadsheetml/2006/main">
  <c r="Q22" i="3"/>
  <c r="S22"/>
  <c r="O20"/>
  <c r="J10"/>
  <c r="I10"/>
  <c r="H10"/>
  <c r="G10"/>
  <c r="F10"/>
  <c r="E10"/>
  <c r="D10"/>
  <c r="C10"/>
  <c r="I33" i="1"/>
  <c r="I32"/>
  <c r="N32"/>
  <c r="AM33"/>
  <c r="AH33"/>
  <c r="AC33"/>
  <c r="X33"/>
  <c r="S33"/>
  <c r="N33"/>
  <c r="AM31"/>
  <c r="AH31"/>
  <c r="AC31"/>
  <c r="X31"/>
  <c r="S31"/>
  <c r="N31"/>
  <c r="I31"/>
  <c r="L10" i="3" s="1"/>
  <c r="N22" i="1"/>
  <c r="AM7"/>
  <c r="AH7"/>
  <c r="AC7"/>
  <c r="X7"/>
  <c r="S7"/>
  <c r="N7"/>
  <c r="I7"/>
  <c r="AM6"/>
  <c r="AH6"/>
  <c r="AC6"/>
  <c r="X6"/>
  <c r="S6"/>
  <c r="N6"/>
  <c r="I6"/>
  <c r="AM57"/>
  <c r="AH57"/>
  <c r="AC57"/>
  <c r="X57"/>
  <c r="S57"/>
  <c r="N57"/>
  <c r="I57"/>
  <c r="AM56"/>
  <c r="AH56"/>
  <c r="AC56"/>
  <c r="X56"/>
  <c r="S56"/>
  <c r="N56"/>
  <c r="I56"/>
  <c r="AC37"/>
  <c r="AH37"/>
  <c r="AM37"/>
  <c r="I37"/>
  <c r="N37"/>
  <c r="S37"/>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20"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20" i="3"/>
  <c r="P21"/>
  <c r="F2" i="1"/>
  <c r="P19" i="3"/>
  <c r="U19"/>
  <c r="U21" s="1"/>
  <c r="R19"/>
  <c r="R21" s="1"/>
  <c r="S19"/>
  <c r="S21" s="1"/>
  <c r="T19"/>
  <c r="T21" s="1"/>
  <c r="V19"/>
  <c r="V21" s="1"/>
  <c r="Q19"/>
  <c r="Q21" s="1"/>
  <c r="I11" i="1"/>
  <c r="X5"/>
  <c r="X8"/>
  <c r="X9"/>
  <c r="X10"/>
  <c r="X11"/>
  <c r="X12"/>
  <c r="X13"/>
  <c r="X14"/>
  <c r="X15"/>
  <c r="X16"/>
  <c r="X17"/>
  <c r="X18"/>
  <c r="X19"/>
  <c r="X20"/>
  <c r="X21"/>
  <c r="X22"/>
  <c r="X23"/>
  <c r="X24"/>
  <c r="X25"/>
  <c r="X26"/>
  <c r="X27"/>
  <c r="X28"/>
  <c r="X29"/>
  <c r="X30"/>
  <c r="X34"/>
  <c r="X35"/>
  <c r="X36"/>
  <c r="X38"/>
  <c r="X39"/>
  <c r="X40"/>
  <c r="X41"/>
  <c r="X42"/>
  <c r="X43"/>
  <c r="X44"/>
  <c r="X45"/>
  <c r="X46"/>
  <c r="X47"/>
  <c r="X48"/>
  <c r="X49"/>
  <c r="X50"/>
  <c r="X51"/>
  <c r="X52"/>
  <c r="X53"/>
  <c r="X54"/>
  <c r="X55"/>
  <c r="X58"/>
  <c r="X59"/>
  <c r="X60"/>
  <c r="X61"/>
  <c r="X62"/>
  <c r="X63"/>
  <c r="X64"/>
  <c r="X65"/>
  <c r="X66"/>
  <c r="X67"/>
  <c r="X68"/>
  <c r="X69"/>
  <c r="X4"/>
  <c r="AC5"/>
  <c r="AC8"/>
  <c r="AC9"/>
  <c r="AC10"/>
  <c r="AC11"/>
  <c r="AC12"/>
  <c r="AC13"/>
  <c r="AC14"/>
  <c r="AC15"/>
  <c r="AC16"/>
  <c r="AC17"/>
  <c r="AC18"/>
  <c r="AC19"/>
  <c r="AC20"/>
  <c r="AC21"/>
  <c r="AC22"/>
  <c r="AC23"/>
  <c r="AC24"/>
  <c r="AC25"/>
  <c r="AC26"/>
  <c r="AC27"/>
  <c r="AC28"/>
  <c r="AC29"/>
  <c r="AC30"/>
  <c r="AC34"/>
  <c r="AC35"/>
  <c r="AC36"/>
  <c r="AC38"/>
  <c r="AC39"/>
  <c r="AC40"/>
  <c r="AC41"/>
  <c r="AC42"/>
  <c r="AC43"/>
  <c r="AC44"/>
  <c r="AC45"/>
  <c r="AC46"/>
  <c r="AC47"/>
  <c r="AC48"/>
  <c r="AC49"/>
  <c r="AC50"/>
  <c r="AC51"/>
  <c r="AC52"/>
  <c r="AC53"/>
  <c r="AC54"/>
  <c r="AC55"/>
  <c r="AC58"/>
  <c r="AC59"/>
  <c r="AC60"/>
  <c r="AC61"/>
  <c r="AC62"/>
  <c r="AC63"/>
  <c r="AC64"/>
  <c r="AC65"/>
  <c r="AC66"/>
  <c r="AC67"/>
  <c r="AC68"/>
  <c r="AC69"/>
  <c r="AC4"/>
  <c r="AM5"/>
  <c r="AM8"/>
  <c r="AM9"/>
  <c r="AM10"/>
  <c r="AM11"/>
  <c r="AM12"/>
  <c r="AM13"/>
  <c r="AM14"/>
  <c r="AM15"/>
  <c r="AM16"/>
  <c r="AM17"/>
  <c r="AM18"/>
  <c r="AM19"/>
  <c r="AM20"/>
  <c r="AM21"/>
  <c r="AM22"/>
  <c r="AM23"/>
  <c r="AM24"/>
  <c r="AM25"/>
  <c r="AM26"/>
  <c r="AM27"/>
  <c r="AM28"/>
  <c r="AM29"/>
  <c r="AM30"/>
  <c r="AM34"/>
  <c r="AM35"/>
  <c r="AM36"/>
  <c r="AM38"/>
  <c r="AM39"/>
  <c r="AM40"/>
  <c r="AM41"/>
  <c r="AM42"/>
  <c r="AM43"/>
  <c r="AM44"/>
  <c r="AM45"/>
  <c r="AM46"/>
  <c r="AM47"/>
  <c r="AM48"/>
  <c r="AM49"/>
  <c r="AM50"/>
  <c r="AM51"/>
  <c r="AM52"/>
  <c r="AM53"/>
  <c r="AM54"/>
  <c r="AM55"/>
  <c r="AM58"/>
  <c r="AM59"/>
  <c r="AM60"/>
  <c r="AM61"/>
  <c r="AM62"/>
  <c r="AM63"/>
  <c r="AM64"/>
  <c r="AM65"/>
  <c r="AM66"/>
  <c r="AM67"/>
  <c r="AM68"/>
  <c r="AM69"/>
  <c r="AM4"/>
  <c r="AH5"/>
  <c r="AH8"/>
  <c r="AH9"/>
  <c r="AH10"/>
  <c r="AH11"/>
  <c r="AH12"/>
  <c r="AH13"/>
  <c r="AH14"/>
  <c r="AH15"/>
  <c r="AH16"/>
  <c r="AH17"/>
  <c r="AH18"/>
  <c r="AH19"/>
  <c r="AH20"/>
  <c r="AH21"/>
  <c r="AH22"/>
  <c r="AH23"/>
  <c r="AH24"/>
  <c r="AH25"/>
  <c r="AH26"/>
  <c r="AH27"/>
  <c r="AH28"/>
  <c r="AH29"/>
  <c r="AH30"/>
  <c r="AH34"/>
  <c r="AH35"/>
  <c r="AH36"/>
  <c r="AH38"/>
  <c r="AH39"/>
  <c r="AH40"/>
  <c r="AH41"/>
  <c r="AH42"/>
  <c r="AH43"/>
  <c r="AH44"/>
  <c r="AH45"/>
  <c r="AH46"/>
  <c r="AH47"/>
  <c r="AH48"/>
  <c r="AH49"/>
  <c r="AH50"/>
  <c r="AH51"/>
  <c r="AH52"/>
  <c r="AH53"/>
  <c r="AH54"/>
  <c r="AH55"/>
  <c r="AH58"/>
  <c r="AH59"/>
  <c r="AH60"/>
  <c r="AH61"/>
  <c r="AH62"/>
  <c r="AH63"/>
  <c r="AH64"/>
  <c r="AH65"/>
  <c r="AH66"/>
  <c r="AH67"/>
  <c r="AH68"/>
  <c r="AH69"/>
  <c r="AH4"/>
  <c r="N4"/>
  <c r="S69"/>
  <c r="S68"/>
  <c r="S67"/>
  <c r="S66"/>
  <c r="S65"/>
  <c r="S64"/>
  <c r="S63"/>
  <c r="S62"/>
  <c r="S61"/>
  <c r="S60"/>
  <c r="S59"/>
  <c r="S58"/>
  <c r="S55"/>
  <c r="S54"/>
  <c r="S53"/>
  <c r="S52"/>
  <c r="S51"/>
  <c r="S50"/>
  <c r="S49"/>
  <c r="S48"/>
  <c r="S47"/>
  <c r="S46"/>
  <c r="S45"/>
  <c r="S44"/>
  <c r="S43"/>
  <c r="S42"/>
  <c r="S41"/>
  <c r="S40"/>
  <c r="S39"/>
  <c r="S38"/>
  <c r="S36"/>
  <c r="S35"/>
  <c r="S34"/>
  <c r="S30"/>
  <c r="S29"/>
  <c r="S28"/>
  <c r="S27"/>
  <c r="S26"/>
  <c r="S25"/>
  <c r="S24"/>
  <c r="S23"/>
  <c r="S22"/>
  <c r="S21"/>
  <c r="S20"/>
  <c r="S19"/>
  <c r="S18"/>
  <c r="S17"/>
  <c r="S16"/>
  <c r="S15"/>
  <c r="S14"/>
  <c r="S13"/>
  <c r="S12"/>
  <c r="S11"/>
  <c r="S10"/>
  <c r="S9"/>
  <c r="S8"/>
  <c r="S5"/>
  <c r="S4"/>
  <c r="N69"/>
  <c r="N68"/>
  <c r="N67"/>
  <c r="N66"/>
  <c r="N65"/>
  <c r="N64"/>
  <c r="N63"/>
  <c r="N62"/>
  <c r="N61"/>
  <c r="N60"/>
  <c r="N59"/>
  <c r="N58"/>
  <c r="N55"/>
  <c r="N54"/>
  <c r="N53"/>
  <c r="N52"/>
  <c r="N51"/>
  <c r="N50"/>
  <c r="N49"/>
  <c r="N48"/>
  <c r="J3" s="1"/>
  <c r="N47"/>
  <c r="N46"/>
  <c r="N45"/>
  <c r="N44"/>
  <c r="N43"/>
  <c r="N42"/>
  <c r="N41"/>
  <c r="N40"/>
  <c r="N39"/>
  <c r="N38"/>
  <c r="N36"/>
  <c r="N35"/>
  <c r="N34"/>
  <c r="N30"/>
  <c r="N29"/>
  <c r="N28"/>
  <c r="N27"/>
  <c r="N26"/>
  <c r="N25"/>
  <c r="N24"/>
  <c r="N23"/>
  <c r="N21"/>
  <c r="N20"/>
  <c r="N19"/>
  <c r="N18"/>
  <c r="N17"/>
  <c r="N16"/>
  <c r="N15"/>
  <c r="N14"/>
  <c r="N5"/>
  <c r="N8"/>
  <c r="N9"/>
  <c r="N10"/>
  <c r="N11"/>
  <c r="N12"/>
  <c r="N13"/>
  <c r="C26" i="3"/>
  <c r="D26"/>
  <c r="I4" i="1"/>
  <c r="I5"/>
  <c r="I8"/>
  <c r="I9"/>
  <c r="I10"/>
  <c r="I12"/>
  <c r="L4" i="3" s="1"/>
  <c r="I13" i="1"/>
  <c r="I14"/>
  <c r="L5" i="3" s="1"/>
  <c r="I15" i="1"/>
  <c r="I16"/>
  <c r="I17"/>
  <c r="I18"/>
  <c r="I19"/>
  <c r="I20"/>
  <c r="I21"/>
  <c r="I22"/>
  <c r="I23"/>
  <c r="I24"/>
  <c r="I25"/>
  <c r="I26"/>
  <c r="I27"/>
  <c r="I28"/>
  <c r="I29"/>
  <c r="I30"/>
  <c r="I34"/>
  <c r="I35"/>
  <c r="I36"/>
  <c r="I38"/>
  <c r="I39"/>
  <c r="I40"/>
  <c r="I41"/>
  <c r="I42"/>
  <c r="L12" i="3" s="1"/>
  <c r="I43" i="1"/>
  <c r="I44"/>
  <c r="I45"/>
  <c r="I46"/>
  <c r="I47"/>
  <c r="I48"/>
  <c r="L14" i="3" s="1"/>
  <c r="I49" i="1"/>
  <c r="I50"/>
  <c r="I51"/>
  <c r="I52"/>
  <c r="I53"/>
  <c r="I54"/>
  <c r="I55"/>
  <c r="I58"/>
  <c r="I59"/>
  <c r="I60"/>
  <c r="I61"/>
  <c r="I62"/>
  <c r="I63"/>
  <c r="I64"/>
  <c r="I65"/>
  <c r="I66"/>
  <c r="I67"/>
  <c r="I68"/>
  <c r="I69"/>
  <c r="I17" i="3"/>
  <c r="H17"/>
  <c r="G17"/>
  <c r="F17"/>
  <c r="E17"/>
  <c r="D17"/>
  <c r="C17"/>
  <c r="I18"/>
  <c r="H18"/>
  <c r="F18"/>
  <c r="E18"/>
  <c r="D18"/>
  <c r="C18"/>
  <c r="C8"/>
  <c r="D8"/>
  <c r="E8"/>
  <c r="F8"/>
  <c r="G8"/>
  <c r="H8"/>
  <c r="I8"/>
  <c r="I9"/>
  <c r="I20"/>
  <c r="C3"/>
  <c r="C4"/>
  <c r="G18"/>
  <c r="I16"/>
  <c r="H16"/>
  <c r="G16"/>
  <c r="F16"/>
  <c r="E16"/>
  <c r="D16"/>
  <c r="C16"/>
  <c r="I15"/>
  <c r="H15"/>
  <c r="G15"/>
  <c r="F15"/>
  <c r="E15"/>
  <c r="D15"/>
  <c r="C15"/>
  <c r="I14"/>
  <c r="H14"/>
  <c r="G14"/>
  <c r="F14"/>
  <c r="E14"/>
  <c r="D14"/>
  <c r="C14"/>
  <c r="I13"/>
  <c r="H13"/>
  <c r="G13"/>
  <c r="F13"/>
  <c r="E13"/>
  <c r="D13"/>
  <c r="C13"/>
  <c r="I12"/>
  <c r="H12"/>
  <c r="G12"/>
  <c r="F12"/>
  <c r="E12"/>
  <c r="D12"/>
  <c r="C12"/>
  <c r="I11"/>
  <c r="H11"/>
  <c r="G11"/>
  <c r="F11"/>
  <c r="E11"/>
  <c r="D11"/>
  <c r="C11"/>
  <c r="H9"/>
  <c r="G9"/>
  <c r="F9"/>
  <c r="E9"/>
  <c r="D9"/>
  <c r="C9"/>
  <c r="I7"/>
  <c r="H7"/>
  <c r="G7"/>
  <c r="F7"/>
  <c r="E7"/>
  <c r="D7"/>
  <c r="C7"/>
  <c r="I6"/>
  <c r="H6"/>
  <c r="G6"/>
  <c r="F6"/>
  <c r="E6"/>
  <c r="C6"/>
  <c r="D6"/>
  <c r="I5"/>
  <c r="H5"/>
  <c r="G5"/>
  <c r="F5"/>
  <c r="E5"/>
  <c r="D5"/>
  <c r="C5"/>
  <c r="I4"/>
  <c r="H4"/>
  <c r="G4"/>
  <c r="F4"/>
  <c r="E4"/>
  <c r="D4"/>
  <c r="I3"/>
  <c r="H3"/>
  <c r="G3"/>
  <c r="F3"/>
  <c r="E3"/>
  <c r="D3"/>
  <c r="L7"/>
  <c r="J11" l="1"/>
  <c r="L15"/>
  <c r="L17"/>
  <c r="L3"/>
  <c r="L11"/>
  <c r="F3" i="1"/>
  <c r="E26" i="3" s="1"/>
  <c r="L18"/>
  <c r="L13"/>
  <c r="Y3" i="1"/>
  <c r="L9" i="3"/>
  <c r="L8"/>
  <c r="L6"/>
  <c r="T3" i="1"/>
  <c r="E20" i="3"/>
  <c r="C20"/>
  <c r="D20"/>
  <c r="F20"/>
  <c r="AD3" i="1"/>
  <c r="O3"/>
  <c r="AI3"/>
  <c r="L16" i="3"/>
  <c r="J17"/>
  <c r="J9"/>
  <c r="J12"/>
  <c r="J14"/>
  <c r="I19"/>
  <c r="G19"/>
  <c r="J6"/>
  <c r="J7"/>
  <c r="J5"/>
  <c r="E19"/>
  <c r="J16"/>
  <c r="J4"/>
  <c r="J13"/>
  <c r="J8"/>
  <c r="J15"/>
  <c r="J3"/>
  <c r="J18"/>
  <c r="D19"/>
  <c r="F19"/>
  <c r="C19"/>
  <c r="H19"/>
  <c r="L19" l="1"/>
  <c r="J20"/>
  <c r="F26"/>
  <c r="G26" s="1"/>
  <c r="E27" s="1"/>
  <c r="M18" l="1"/>
  <c r="M10"/>
  <c r="M16"/>
  <c r="M12"/>
  <c r="M17"/>
  <c r="M14"/>
  <c r="M9"/>
  <c r="M11"/>
  <c r="M15"/>
  <c r="M7"/>
  <c r="M5"/>
  <c r="M3"/>
  <c r="M13"/>
  <c r="M6"/>
  <c r="M8"/>
  <c r="M4"/>
  <c r="K20"/>
  <c r="I21"/>
  <c r="G21"/>
  <c r="H21"/>
  <c r="D21"/>
  <c r="F21"/>
  <c r="E21"/>
  <c r="C21"/>
  <c r="D27"/>
  <c r="F27"/>
  <c r="C27"/>
  <c r="M21" l="1"/>
</calcChain>
</file>

<file path=xl/sharedStrings.xml><?xml version="1.0" encoding="utf-8"?>
<sst xmlns="http://schemas.openxmlformats.org/spreadsheetml/2006/main" count="1931" uniqueCount="150">
  <si>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</si>
  <si>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</si>
  <si>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</si>
  <si>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</si>
  <si>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</si>
  <si>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</si>
  <si>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</si>
  <si>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</si>
  <si>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</si>
  <si>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</si>
  <si>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</si>
  <si>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</si>
  <si>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</si>
  <si>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</si>
  <si>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</si>
  <si>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</si>
  <si>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</si>
  <si>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</si>
  <si>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</si>
  <si>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</si>
  <si>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</si>
  <si>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</si>
  <si>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</si>
  <si>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</si>
  <si>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</si>
  <si>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</si>
  <si>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</si>
  <si>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</si>
  <si>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</si>
  <si>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</si>
  <si>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</si>
  <si>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</si>
  <si>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</si>
  <si>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</si>
  <si>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</si>
  <si>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</si>
  <si>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</si>
  <si>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</si>
  <si>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</si>
  <si>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</si>
  <si>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</si>
  <si>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</si>
  <si>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</si>
  <si>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</si>
  <si>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</si>
  <si>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</si>
  <si>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</si>
  <si>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</si>
  <si>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</si>
  <si>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</si>
  <si>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</si>
  <si>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</si>
  <si>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</si>
  <si>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</si>
  <si>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</si>
  <si>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</si>
  <si>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</si>
  <si>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</si>
  <si>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</si>
  <si>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</si>
  <si>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</si>
  <si>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</si>
  <si>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</si>
  <si>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</si>
  <si>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</si>
  <si>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</si>
  <si>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</si>
  <si>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</si>
  <si>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</si>
  <si>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</si>
  <si>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</si>
  <si>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</si>
  <si>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</si>
  <si>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</si>
  <si>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</si>
  <si>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</si>
  <si>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</si>
  <si>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</si>
  <si>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</si>
  <si>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</si>
  <si>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</si>
  <si>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</si>
  <si>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</si>
  <si>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</si>
  <si>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</si>
  <si>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</si>
  <si>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</si>
  <si>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</si>
  <si>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</si>
  <si>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</si>
  <si>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</si>
  <si>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</si>
  <si>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</si>
  <si>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</si>
  <si>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</si>
  <si>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</si>
  <si>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</si>
  <si>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</si>
  <si>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</si>
  <si>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</si>
  <si>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</si>
  <si>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</si>
  <si>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</si>
  <si>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</si>
  <si>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</si>
  <si>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</si>
  <si>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</si>
  <si>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</si>
  <si>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</si>
  <si>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</si>
  <si>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</si>
  <si>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</si>
  <si>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</si>
  <si>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</si>
  <si>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</si>
  <si>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</si>
  <si>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</si>
  <si>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</si>
  <si>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</si>
  <si>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</si>
  <si>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</si>
  <si>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</si>
  <si>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</si>
  <si>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</si>
  <si>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</si>
  <si>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</si>
  <si>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</si>
  <si>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</si>
  <si>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</si>
  <si>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</si>
  <si>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</si>
  <si>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</si>
  <si>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</si>
  <si>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</si>
  <si>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</si>
  <si>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</si>
  <si>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</si>
  <si>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</si>
  <si>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</si>
  <si>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</si>
  <si>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</si>
  <si>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</si>
  <si>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</si>
  <si>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</si>
  <si>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GreatHollow</t>
  </si>
  <si>
    <t>Rush Valley</t>
  </si>
  <si>
    <t>Great Hollow</t>
  </si>
  <si>
    <t>Shau Caulha</t>
  </si>
  <si>
    <t>Maximus77</t>
  </si>
  <si>
    <t>MAJ 01/08/2009 10h00</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</si>
</sst>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ck">
        <color rgb="FFFFFF00"/>
      </left>
      <right/>
      <top style="thick">
        <color rgb="FFFFFF00"/>
      </top>
      <bottom/>
      <diagonal/>
    </border>
    <border>
      <left/>
      <right style="thick">
        <color rgb="FFFFFF00"/>
      </right>
      <top style="thick">
        <color rgb="FFFFFF00"/>
      </top>
      <bottom/>
      <diagonal/>
    </border>
    <border>
      <left style="thick">
        <color rgb="FFFFFF00"/>
      </left>
      <right/>
      <top/>
      <bottom style="thick">
        <color rgb="FFFFFF00"/>
      </bottom>
      <diagonal/>
    </border>
    <border>
      <left/>
      <right style="thick">
        <color rgb="FFFFFF00"/>
      </right>
      <top/>
      <bottom style="thick">
        <color rgb="FFFFFF00"/>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dashed">
        <color indexed="64"/>
      </left>
      <right/>
      <top/>
      <bottom style="medium">
        <color indexed="64"/>
      </bottom>
      <diagonal/>
    </border>
    <border>
      <left/>
      <right style="dashed">
        <color indexed="64"/>
      </right>
      <top/>
      <bottom style="medium">
        <color indexed="64"/>
      </bottom>
      <diagonal/>
    </border>
    <border>
      <left style="medium">
        <color indexed="64"/>
      </left>
      <right style="medium">
        <color indexed="64"/>
      </right>
      <top style="dashed">
        <color indexed="64"/>
      </top>
      <bottom style="dotted">
        <color indexed="64"/>
      </bottom>
      <diagonal/>
    </border>
    <border>
      <left/>
      <right/>
      <top style="dashed">
        <color indexed="64"/>
      </top>
      <bottom style="dotted">
        <color indexed="64"/>
      </bottom>
      <diagonal/>
    </border>
    <border>
      <left style="dashed">
        <color indexed="64"/>
      </left>
      <right style="dashed">
        <color indexed="64"/>
      </right>
      <top style="dashed">
        <color indexed="64"/>
      </top>
      <bottom style="dotted">
        <color indexed="64"/>
      </bottom>
      <diagonal/>
    </border>
    <border>
      <left/>
      <right style="medium">
        <color indexed="64"/>
      </right>
      <top style="dash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s>
  <cellStyleXfs count="2">
    <xf numFmtId="0" fontId="0" fillId="0" borderId="0"/>
    <xf numFmtId="9" fontId="6" fillId="0" borderId="0" applyFont="0" applyFill="0" applyBorder="0" applyAlignment="0" applyProtection="0"/>
  </cellStyleXfs>
  <cellXfs count="495">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50" xfId="0" applyFill="1" applyBorder="1" applyAlignment="1">
      <alignment horizontal="center" vertical="center" wrapText="1"/>
    </xf>
    <xf numFmtId="9" fontId="0" fillId="0" borderId="0" xfId="0" applyNumberFormat="1"/>
    <xf numFmtId="0" fontId="0" fillId="10" borderId="89" xfId="0" applyFill="1" applyBorder="1" applyAlignment="1">
      <alignment vertical="center"/>
    </xf>
    <xf numFmtId="1" fontId="0" fillId="0" borderId="0" xfId="0" applyNumberFormat="1"/>
    <xf numFmtId="0" fontId="0" fillId="10" borderId="50" xfId="0" applyFill="1" applyBorder="1" applyAlignment="1">
      <alignment horizontal="center" vertical="center" wrapText="1"/>
    </xf>
    <xf numFmtId="0" fontId="0" fillId="10" borderId="124" xfId="0" applyFill="1" applyBorder="1" applyAlignment="1">
      <alignment horizontal="center" vertical="center" wrapText="1"/>
    </xf>
    <xf numFmtId="0" fontId="0" fillId="10" borderId="125" xfId="0" applyFill="1" applyBorder="1" applyAlignment="1">
      <alignment horizontal="center" vertical="center" wrapText="1"/>
    </xf>
    <xf numFmtId="0" fontId="0" fillId="10" borderId="126" xfId="0" applyFill="1" applyBorder="1" applyAlignment="1">
      <alignment horizontal="center" vertical="center" wrapText="1"/>
    </xf>
    <xf numFmtId="0" fontId="0" fillId="10" borderId="127" xfId="0" applyFill="1" applyBorder="1" applyAlignment="1">
      <alignment horizontal="center" vertical="center" wrapText="1"/>
    </xf>
    <xf numFmtId="0" fontId="0" fillId="10" borderId="46"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9" xfId="0" applyFill="1" applyBorder="1" applyAlignment="1">
      <alignment horizontal="center" vertical="center"/>
    </xf>
    <xf numFmtId="0" fontId="3" fillId="10" borderId="79" xfId="0" applyFont="1" applyFill="1" applyBorder="1"/>
    <xf numFmtId="0" fontId="3" fillId="10" borderId="48" xfId="0" applyFont="1" applyFill="1" applyBorder="1"/>
    <xf numFmtId="0" fontId="3" fillId="10" borderId="104" xfId="0" applyFont="1" applyFill="1" applyBorder="1"/>
    <xf numFmtId="0" fontId="3" fillId="10" borderId="105" xfId="0" applyFont="1" applyFill="1" applyBorder="1"/>
    <xf numFmtId="0" fontId="3" fillId="10" borderId="41" xfId="0" applyFont="1" applyFill="1" applyBorder="1"/>
    <xf numFmtId="0" fontId="3" fillId="10" borderId="83" xfId="0" applyFont="1" applyFill="1" applyBorder="1"/>
    <xf numFmtId="0" fontId="3" fillId="10" borderId="130" xfId="0" applyFont="1" applyFill="1" applyBorder="1"/>
    <xf numFmtId="0" fontId="3" fillId="10" borderId="128" xfId="0" applyFont="1" applyFill="1" applyBorder="1"/>
    <xf numFmtId="0" fontId="3" fillId="10" borderId="131" xfId="0" applyFont="1" applyFill="1" applyBorder="1"/>
    <xf numFmtId="0" fontId="3" fillId="10" borderId="132" xfId="0" applyFont="1" applyFill="1" applyBorder="1"/>
    <xf numFmtId="0" fontId="3" fillId="10" borderId="42" xfId="0" applyFont="1" applyFill="1" applyBorder="1"/>
    <xf numFmtId="0" fontId="0" fillId="0" borderId="129" xfId="0" applyBorder="1"/>
    <xf numFmtId="0" fontId="0" fillId="10" borderId="133" xfId="0" applyFill="1" applyBorder="1" applyAlignment="1">
      <alignment horizontal="center" vertical="center"/>
    </xf>
    <xf numFmtId="0" fontId="0" fillId="10" borderId="134" xfId="0" applyFill="1" applyBorder="1" applyAlignment="1">
      <alignment horizontal="center" vertical="center"/>
    </xf>
    <xf numFmtId="0" fontId="0" fillId="10" borderId="135" xfId="0" applyFill="1" applyBorder="1" applyAlignment="1">
      <alignment horizontal="center" vertical="center"/>
    </xf>
    <xf numFmtId="0" fontId="0" fillId="10" borderId="136" xfId="0" applyFill="1" applyBorder="1" applyAlignment="1">
      <alignment horizontal="center" vertical="center"/>
    </xf>
    <xf numFmtId="1" fontId="0" fillId="0" borderId="137" xfId="0" applyNumberFormat="1" applyBorder="1"/>
    <xf numFmtId="1" fontId="0" fillId="10" borderId="138" xfId="0" applyNumberFormat="1" applyFill="1" applyBorder="1" applyAlignment="1">
      <alignment horizontal="center" vertical="center"/>
    </xf>
    <xf numFmtId="1" fontId="0" fillId="10" borderId="139" xfId="0" applyNumberFormat="1" applyFill="1" applyBorder="1" applyAlignment="1">
      <alignment horizontal="center" vertical="center"/>
    </xf>
    <xf numFmtId="1" fontId="0" fillId="0" borderId="140" xfId="0" applyNumberFormat="1" applyBorder="1"/>
    <xf numFmtId="1" fontId="0" fillId="10" borderId="141" xfId="0" applyNumberFormat="1" applyFill="1" applyBorder="1" applyAlignment="1">
      <alignment horizontal="center" vertical="center"/>
    </xf>
    <xf numFmtId="1" fontId="0" fillId="10" borderId="142" xfId="0" applyNumberFormat="1" applyFill="1" applyBorder="1" applyAlignment="1">
      <alignment horizontal="center" vertical="center"/>
    </xf>
    <xf numFmtId="0" fontId="0" fillId="10" borderId="85" xfId="0" applyFill="1" applyBorder="1" applyAlignment="1">
      <alignment horizontal="center" vertical="center"/>
    </xf>
    <xf numFmtId="10" fontId="0" fillId="0" borderId="0" xfId="1" applyNumberFormat="1" applyFont="1"/>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0" borderId="19" xfId="0" applyBorder="1"/>
    <xf numFmtId="0" fontId="0" fillId="10" borderId="129"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164" fontId="0" fillId="0" borderId="0" xfId="1" applyNumberFormat="1" applyFont="1" applyAlignment="1">
      <alignment horizont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1" borderId="61" xfId="0" applyFill="1" applyBorder="1" applyAlignment="1">
      <alignment horizontal="center" vertical="center" wrapText="1"/>
    </xf>
    <xf numFmtId="0" fontId="0" fillId="12" borderId="50" xfId="0" applyFill="1" applyBorder="1" applyAlignment="1">
      <alignment horizontal="center" vertical="center" wrapText="1"/>
    </xf>
    <xf numFmtId="0" fontId="0" fillId="12" borderId="51" xfId="0" applyFill="1" applyBorder="1" applyAlignment="1">
      <alignment horizontal="center" vertical="center" wrapText="1"/>
    </xf>
    <xf numFmtId="0" fontId="0" fillId="12" borderId="58" xfId="0" applyFill="1" applyBorder="1" applyAlignment="1">
      <alignment horizontal="center" vertical="center" wrapText="1"/>
    </xf>
    <xf numFmtId="0" fontId="0" fillId="12" borderId="59" xfId="0"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20"/>
  <sheetViews>
    <sheetView tabSelected="1" workbookViewId="0">
      <pane xSplit="4" ySplit="3" topLeftCell="E40" activePane="bottomRight" state="frozen"/>
      <selection pane="topRight" activeCell="C1" sqref="C1"/>
      <selection pane="bottomLeft" activeCell="A4" sqref="A4"/>
      <selection pane="bottomRight" activeCell="C2" sqref="C2:AM69"/>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43" t="s">
        <v>149</v>
      </c>
      <c r="D2" s="343"/>
      <c r="E2" s="344"/>
      <c r="F2" s="348" t="str">
        <f>CONCATENATE("Or ( ",B2," trésoreries)")</f>
        <v>Or ( 2 trésoreries)</v>
      </c>
      <c r="G2" s="349"/>
      <c r="H2" s="349"/>
      <c r="I2" s="350"/>
      <c r="J2" s="369" t="s">
        <v>5</v>
      </c>
      <c r="K2" s="370"/>
      <c r="L2" s="370"/>
      <c r="M2" s="370"/>
      <c r="N2" s="371"/>
      <c r="O2" s="366" t="s">
        <v>6</v>
      </c>
      <c r="P2" s="367"/>
      <c r="Q2" s="367"/>
      <c r="R2" s="367"/>
      <c r="S2" s="368"/>
      <c r="T2" s="363" t="s">
        <v>7</v>
      </c>
      <c r="U2" s="364"/>
      <c r="V2" s="364"/>
      <c r="W2" s="364"/>
      <c r="X2" s="365"/>
      <c r="Y2" s="360" t="s">
        <v>8</v>
      </c>
      <c r="Z2" s="361"/>
      <c r="AA2" s="361"/>
      <c r="AB2" s="361"/>
      <c r="AC2" s="362"/>
      <c r="AD2" s="357" t="s">
        <v>9</v>
      </c>
      <c r="AE2" s="358"/>
      <c r="AF2" s="358"/>
      <c r="AG2" s="358"/>
      <c r="AH2" s="359"/>
      <c r="AI2" s="354" t="s">
        <v>10</v>
      </c>
      <c r="AJ2" s="355"/>
      <c r="AK2" s="355"/>
      <c r="AL2" s="355"/>
      <c r="AM2" s="356"/>
    </row>
    <row r="3" spans="1:39" ht="15.75" thickBot="1">
      <c r="A3" s="2" t="s">
        <v>13</v>
      </c>
      <c r="B3" s="1" t="s">
        <v>14</v>
      </c>
      <c r="C3" s="2" t="s">
        <v>13</v>
      </c>
      <c r="D3" s="23" t="s">
        <v>14</v>
      </c>
      <c r="E3" s="98" t="s">
        <v>70</v>
      </c>
      <c r="F3" s="351" t="str">
        <f>CONCATENATE(TRUNC(SUM(I4:I69)/1000000,3)," Mpo")</f>
        <v>1,412 Mpo</v>
      </c>
      <c r="G3" s="352"/>
      <c r="H3" s="352"/>
      <c r="I3" s="353"/>
      <c r="J3" s="375">
        <f>TRUNC(SUM(N4:N69))</f>
        <v>508</v>
      </c>
      <c r="K3" s="376"/>
      <c r="L3" s="376"/>
      <c r="M3" s="376"/>
      <c r="N3" s="377"/>
      <c r="O3" s="378">
        <f>TRUNC(SUM(S4:S69))</f>
        <v>527</v>
      </c>
      <c r="P3" s="379"/>
      <c r="Q3" s="379"/>
      <c r="R3" s="379"/>
      <c r="S3" s="380"/>
      <c r="T3" s="372">
        <f>TRUNC(SUM(X4:X69))</f>
        <v>116</v>
      </c>
      <c r="U3" s="373"/>
      <c r="V3" s="373"/>
      <c r="W3" s="373"/>
      <c r="X3" s="374"/>
      <c r="Y3" s="381">
        <f>TRUNC(SUM(AC5:AC69))</f>
        <v>129</v>
      </c>
      <c r="Z3" s="382"/>
      <c r="AA3" s="382"/>
      <c r="AB3" s="382"/>
      <c r="AC3" s="383"/>
      <c r="AD3" s="384">
        <f>TRUNC(SUM(AH4:AH69))</f>
        <v>90</v>
      </c>
      <c r="AE3" s="385"/>
      <c r="AF3" s="385"/>
      <c r="AG3" s="385"/>
      <c r="AH3" s="386"/>
      <c r="AI3" s="345">
        <f>TRUNC(SUM(AM4:AM69))</f>
        <v>125</v>
      </c>
      <c r="AJ3" s="346"/>
      <c r="AK3" s="346"/>
      <c r="AL3" s="346"/>
      <c r="AM3" s="347"/>
    </row>
    <row r="4" spans="1:39">
      <c r="A4" s="12" t="s">
        <v>26</v>
      </c>
      <c r="B4" s="13" t="s">
        <v>27</v>
      </c>
      <c r="C4" s="336"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37"/>
      <c r="D5" s="55" t="s">
        <v>112</v>
      </c>
      <c r="E5" s="55" t="s">
        <v>68</v>
      </c>
      <c r="F5" s="95">
        <v>7000</v>
      </c>
      <c r="G5" s="95">
        <v>10</v>
      </c>
      <c r="H5" s="94">
        <v>8</v>
      </c>
      <c r="I5" s="41">
        <f t="shared" ref="I5:I69" si="0">((2000*G5)*(1+0.05*(H5-1))+F5)*(1+0.05*$B$2)</f>
        <v>37400</v>
      </c>
      <c r="J5" s="95">
        <v>9</v>
      </c>
      <c r="K5" s="94">
        <v>4</v>
      </c>
      <c r="L5" s="156"/>
      <c r="M5" s="157"/>
      <c r="N5" s="41">
        <f t="shared" ref="N5:N69" si="1">(2*J5)*(1+0.05*(K5-1))*(1+0.04*L5*(1+0.2*M5))</f>
        <v>20.7</v>
      </c>
      <c r="O5" s="242">
        <v>9</v>
      </c>
      <c r="P5" s="243">
        <v>4</v>
      </c>
      <c r="Q5" s="244"/>
      <c r="R5" s="245"/>
      <c r="S5" s="246">
        <f t="shared" ref="S5:S69" si="2">(2*O5)*(1+0.05*(P5-1))*(1+0.04*Q5*(1+0.2*R5))</f>
        <v>20.7</v>
      </c>
      <c r="T5" s="242">
        <v>5</v>
      </c>
      <c r="U5" s="243">
        <v>2</v>
      </c>
      <c r="V5" s="244"/>
      <c r="W5" s="245"/>
      <c r="X5" s="246">
        <f t="shared" ref="X5:X69" si="3">(1*T5)*(1+0.05*(U5-1))*(1+0.04*V5*(1+0.2*W5))</f>
        <v>5.25</v>
      </c>
      <c r="Y5" s="95"/>
      <c r="Z5" s="94"/>
      <c r="AA5" s="156"/>
      <c r="AB5" s="157"/>
      <c r="AC5" s="41">
        <f t="shared" ref="AC5:AC69" si="4">(1*Y5)*(1+0.05*(Z5-1))*(1+0.04*AA5*(1+0.2*AB5))</f>
        <v>0</v>
      </c>
      <c r="AD5" s="39"/>
      <c r="AE5" s="40"/>
      <c r="AF5" s="158"/>
      <c r="AG5" s="159"/>
      <c r="AH5" s="41">
        <f t="shared" ref="AH5:AH69" si="5">(1*AD5)*(1+0.05*(AE5-1))*(1+0.04*AF5*(1+0.2*AG5))</f>
        <v>0</v>
      </c>
      <c r="AI5" s="95"/>
      <c r="AJ5" s="94"/>
      <c r="AK5" s="156"/>
      <c r="AL5" s="157"/>
      <c r="AM5" s="224">
        <f t="shared" ref="AM5:AM69" si="6">(1*AI5)*(1+0.05*(AJ5-1))*(1+0.04*AK5*(1+0.2*AL5))</f>
        <v>0</v>
      </c>
    </row>
    <row r="6" spans="1:39">
      <c r="A6" s="14" t="s">
        <v>26</v>
      </c>
      <c r="B6" s="298" t="s">
        <v>147</v>
      </c>
      <c r="C6" s="337"/>
      <c r="D6" s="334" t="s">
        <v>147</v>
      </c>
      <c r="E6" s="334" t="s">
        <v>124</v>
      </c>
      <c r="F6" s="39">
        <v>2000</v>
      </c>
      <c r="G6" s="39">
        <v>3</v>
      </c>
      <c r="H6" s="40">
        <v>3</v>
      </c>
      <c r="I6" s="41">
        <f>((2000*G6)*(1+0.05*(H6-1))+F6)*(1+0.05*$B$2)</f>
        <v>9460</v>
      </c>
      <c r="J6" s="39">
        <v>1</v>
      </c>
      <c r="K6" s="40">
        <v>1</v>
      </c>
      <c r="L6" s="158"/>
      <c r="M6" s="159"/>
      <c r="N6" s="41">
        <f>(2*J6)*(1+0.05*(K6-1))*(1+0.04*L6*(1+0.2*M6))</f>
        <v>2</v>
      </c>
      <c r="O6" s="247"/>
      <c r="P6" s="248"/>
      <c r="Q6" s="249"/>
      <c r="R6" s="250"/>
      <c r="S6" s="246">
        <f>(2*O6)*(1+0.05*(P6-1))*(1+0.04*Q6*(1+0.2*R6))</f>
        <v>0</v>
      </c>
      <c r="T6" s="247"/>
      <c r="U6" s="248"/>
      <c r="V6" s="249"/>
      <c r="W6" s="250"/>
      <c r="X6" s="246">
        <f>(1*T6)*(1+0.05*(U6-1))*(1+0.04*V6*(1+0.2*W6))</f>
        <v>0</v>
      </c>
      <c r="Y6" s="39"/>
      <c r="Z6" s="40"/>
      <c r="AA6" s="158"/>
      <c r="AB6" s="159"/>
      <c r="AC6" s="41">
        <f>(1*Y6)*(1+0.05*(Z6-1))*(1+0.04*AA6*(1+0.2*AB6))</f>
        <v>0</v>
      </c>
      <c r="AD6" s="39"/>
      <c r="AE6" s="40"/>
      <c r="AF6" s="158">
        <v>0</v>
      </c>
      <c r="AG6" s="159">
        <v>0</v>
      </c>
      <c r="AH6" s="41">
        <f>(1*AD6)*(1+0.05*(AE6-1))*(1+0.04*AF6*(1+0.2*AG6))</f>
        <v>0</v>
      </c>
      <c r="AI6" s="39">
        <v>1</v>
      </c>
      <c r="AJ6" s="40">
        <v>1</v>
      </c>
      <c r="AK6" s="158"/>
      <c r="AL6" s="159"/>
      <c r="AM6" s="224">
        <f>(1*AI6)*(1+0.05*(AJ6-1))*(1+0.04*AK6*(1+0.2*AL6))</f>
        <v>1</v>
      </c>
    </row>
    <row r="7" spans="1:39">
      <c r="A7" s="14" t="s">
        <v>26</v>
      </c>
      <c r="B7" s="298" t="s">
        <v>147</v>
      </c>
      <c r="C7" s="337"/>
      <c r="D7" s="335"/>
      <c r="E7" s="335"/>
      <c r="F7" s="44"/>
      <c r="G7" s="44">
        <v>2</v>
      </c>
      <c r="H7" s="45">
        <v>2</v>
      </c>
      <c r="I7" s="46">
        <f t="shared" ref="I7" si="7">((2000*G7)*(1+0.05*(H7-1))+F7)*(1+0.05*$B$2)</f>
        <v>4620</v>
      </c>
      <c r="J7" s="44"/>
      <c r="K7" s="45"/>
      <c r="L7" s="160"/>
      <c r="M7" s="161"/>
      <c r="N7" s="46">
        <f t="shared" ref="N7" si="8">(2*J7)*(1+0.05*(K7-1))*(1+0.04*L7*(1+0.2*M7))</f>
        <v>0</v>
      </c>
      <c r="O7" s="251"/>
      <c r="P7" s="252"/>
      <c r="Q7" s="253"/>
      <c r="R7" s="254"/>
      <c r="S7" s="255">
        <f t="shared" ref="S7" si="9">(2*O7)*(1+0.05*(P7-1))*(1+0.04*Q7*(1+0.2*R7))</f>
        <v>0</v>
      </c>
      <c r="T7" s="251"/>
      <c r="U7" s="252"/>
      <c r="V7" s="253"/>
      <c r="W7" s="254"/>
      <c r="X7" s="255">
        <f t="shared" ref="X7" si="10">(1*T7)*(1+0.05*(U7-1))*(1+0.04*V7*(1+0.2*W7))</f>
        <v>0</v>
      </c>
      <c r="Y7" s="44"/>
      <c r="Z7" s="45"/>
      <c r="AA7" s="160"/>
      <c r="AB7" s="161"/>
      <c r="AC7" s="46">
        <f t="shared" ref="AC7" si="11">(1*Y7)*(1+0.05*(Z7-1))*(1+0.04*AA7*(1+0.2*AB7))</f>
        <v>0</v>
      </c>
      <c r="AD7" s="44"/>
      <c r="AE7" s="45"/>
      <c r="AF7" s="160"/>
      <c r="AG7" s="161"/>
      <c r="AH7" s="46">
        <f t="shared" ref="AH7" si="12">(1*AD7)*(1+0.05*(AE7-1))*(1+0.04*AF7*(1+0.2*AG7))</f>
        <v>0</v>
      </c>
      <c r="AI7" s="44"/>
      <c r="AJ7" s="45"/>
      <c r="AK7" s="160"/>
      <c r="AL7" s="161"/>
      <c r="AM7" s="225">
        <f t="shared" ref="AM7" si="13">(1*AI7)*(1+0.05*(AJ7-1))*(1+0.04*AK7*(1+0.2*AL7))</f>
        <v>0</v>
      </c>
    </row>
    <row r="8" spans="1:39">
      <c r="A8" s="14" t="s">
        <v>26</v>
      </c>
      <c r="B8" s="15" t="s">
        <v>44</v>
      </c>
      <c r="C8" s="337"/>
      <c r="D8" s="334" t="s">
        <v>83</v>
      </c>
      <c r="E8" s="334" t="s">
        <v>124</v>
      </c>
      <c r="F8" s="39">
        <v>13000</v>
      </c>
      <c r="G8" s="39">
        <v>10</v>
      </c>
      <c r="H8" s="40">
        <v>3</v>
      </c>
      <c r="I8" s="41">
        <f t="shared" si="0"/>
        <v>38500</v>
      </c>
      <c r="J8" s="39"/>
      <c r="K8" s="40"/>
      <c r="L8" s="158"/>
      <c r="M8" s="159"/>
      <c r="N8" s="41">
        <f t="shared" si="1"/>
        <v>0</v>
      </c>
      <c r="O8" s="247">
        <v>5</v>
      </c>
      <c r="P8" s="248">
        <v>3</v>
      </c>
      <c r="Q8" s="249"/>
      <c r="R8" s="250"/>
      <c r="S8" s="246">
        <f t="shared" si="2"/>
        <v>11</v>
      </c>
      <c r="T8" s="247">
        <v>5</v>
      </c>
      <c r="U8" s="248">
        <v>3</v>
      </c>
      <c r="V8" s="249"/>
      <c r="W8" s="250"/>
      <c r="X8" s="246">
        <f t="shared" si="3"/>
        <v>5.5</v>
      </c>
      <c r="Y8" s="39"/>
      <c r="Z8" s="40"/>
      <c r="AA8" s="158"/>
      <c r="AB8" s="159"/>
      <c r="AC8" s="41">
        <f t="shared" si="4"/>
        <v>0</v>
      </c>
      <c r="AD8" s="39"/>
      <c r="AE8" s="42"/>
      <c r="AF8" s="182"/>
      <c r="AG8" s="183"/>
      <c r="AH8" s="41">
        <f t="shared" si="5"/>
        <v>0</v>
      </c>
      <c r="AI8" s="39"/>
      <c r="AJ8" s="40"/>
      <c r="AK8" s="158"/>
      <c r="AL8" s="159"/>
      <c r="AM8" s="224">
        <f t="shared" si="6"/>
        <v>0</v>
      </c>
    </row>
    <row r="9" spans="1:39">
      <c r="A9" s="14" t="s">
        <v>26</v>
      </c>
      <c r="B9" s="15" t="s">
        <v>44</v>
      </c>
      <c r="C9" s="337"/>
      <c r="D9" s="335"/>
      <c r="E9" s="335"/>
      <c r="F9" s="44"/>
      <c r="G9" s="44"/>
      <c r="H9" s="45"/>
      <c r="I9" s="46">
        <f t="shared" si="0"/>
        <v>0</v>
      </c>
      <c r="J9" s="44"/>
      <c r="K9" s="45"/>
      <c r="L9" s="160"/>
      <c r="M9" s="161"/>
      <c r="N9" s="46">
        <f t="shared" si="1"/>
        <v>0</v>
      </c>
      <c r="O9" s="251">
        <v>5</v>
      </c>
      <c r="P9" s="252">
        <v>3</v>
      </c>
      <c r="Q9" s="253"/>
      <c r="R9" s="254"/>
      <c r="S9" s="255">
        <f t="shared" si="2"/>
        <v>11</v>
      </c>
      <c r="T9" s="251"/>
      <c r="U9" s="252"/>
      <c r="V9" s="253"/>
      <c r="W9" s="254"/>
      <c r="X9" s="255">
        <f t="shared" si="3"/>
        <v>0</v>
      </c>
      <c r="Y9" s="44"/>
      <c r="Z9" s="45"/>
      <c r="AA9" s="160"/>
      <c r="AB9" s="161"/>
      <c r="AC9" s="46">
        <f t="shared" si="4"/>
        <v>0</v>
      </c>
      <c r="AD9" s="44"/>
      <c r="AE9" s="47"/>
      <c r="AF9" s="164"/>
      <c r="AG9" s="165"/>
      <c r="AH9" s="46">
        <f t="shared" si="5"/>
        <v>0</v>
      </c>
      <c r="AI9" s="44"/>
      <c r="AJ9" s="45"/>
      <c r="AK9" s="160"/>
      <c r="AL9" s="161"/>
      <c r="AM9" s="225">
        <f t="shared" si="6"/>
        <v>0</v>
      </c>
    </row>
    <row r="10" spans="1:39" ht="15.75" thickBot="1">
      <c r="A10" s="16" t="s">
        <v>26</v>
      </c>
      <c r="B10" s="17" t="s">
        <v>28</v>
      </c>
      <c r="C10" s="338"/>
      <c r="D10" s="48" t="s">
        <v>28</v>
      </c>
      <c r="E10" s="48" t="s">
        <v>67</v>
      </c>
      <c r="F10" s="49">
        <v>13000</v>
      </c>
      <c r="G10" s="49">
        <v>9</v>
      </c>
      <c r="H10" s="50">
        <v>5</v>
      </c>
      <c r="I10" s="54">
        <f t="shared" si="0"/>
        <v>38060</v>
      </c>
      <c r="J10" s="52">
        <v>9</v>
      </c>
      <c r="K10" s="53">
        <v>3</v>
      </c>
      <c r="L10" s="162"/>
      <c r="M10" s="163"/>
      <c r="N10" s="54">
        <f t="shared" si="1"/>
        <v>19.8</v>
      </c>
      <c r="O10" s="256">
        <v>7</v>
      </c>
      <c r="P10" s="257">
        <v>3</v>
      </c>
      <c r="Q10" s="258"/>
      <c r="R10" s="259"/>
      <c r="S10" s="260">
        <f t="shared" si="2"/>
        <v>15.400000000000002</v>
      </c>
      <c r="T10" s="256"/>
      <c r="U10" s="268"/>
      <c r="V10" s="269"/>
      <c r="W10" s="270"/>
      <c r="X10" s="260">
        <f t="shared" si="3"/>
        <v>0</v>
      </c>
      <c r="Y10" s="49">
        <v>5</v>
      </c>
      <c r="Z10" s="50">
        <v>3</v>
      </c>
      <c r="AA10" s="170"/>
      <c r="AB10" s="171"/>
      <c r="AC10" s="54">
        <f t="shared" si="4"/>
        <v>5.5</v>
      </c>
      <c r="AD10" s="49"/>
      <c r="AE10" s="50"/>
      <c r="AF10" s="170"/>
      <c r="AG10" s="171"/>
      <c r="AH10" s="54">
        <f t="shared" si="5"/>
        <v>0</v>
      </c>
      <c r="AI10" s="49"/>
      <c r="AJ10" s="50"/>
      <c r="AK10" s="170"/>
      <c r="AL10" s="171"/>
      <c r="AM10" s="226">
        <f t="shared" si="6"/>
        <v>0</v>
      </c>
    </row>
    <row r="11" spans="1:39">
      <c r="A11" s="14" t="s">
        <v>18</v>
      </c>
      <c r="B11" s="15" t="s">
        <v>48</v>
      </c>
      <c r="C11" s="337" t="s">
        <v>18</v>
      </c>
      <c r="D11" s="55" t="s">
        <v>48</v>
      </c>
      <c r="E11" s="55" t="s">
        <v>69</v>
      </c>
      <c r="F11" s="44">
        <v>13000</v>
      </c>
      <c r="G11" s="44">
        <v>10</v>
      </c>
      <c r="H11" s="45">
        <v>10</v>
      </c>
      <c r="I11" s="57">
        <f>((2000*G11)*(1+0.05*(H11-1))+F11)*(1+0.05*$B$2)</f>
        <v>46200.000000000007</v>
      </c>
      <c r="J11" s="56">
        <v>9</v>
      </c>
      <c r="K11" s="47">
        <v>9</v>
      </c>
      <c r="L11" s="164">
        <v>5</v>
      </c>
      <c r="M11" s="165">
        <v>1</v>
      </c>
      <c r="N11" s="57">
        <f t="shared" si="1"/>
        <v>31.247999999999998</v>
      </c>
      <c r="O11" s="261">
        <v>8</v>
      </c>
      <c r="P11" s="262">
        <v>8</v>
      </c>
      <c r="Q11" s="263">
        <v>5</v>
      </c>
      <c r="R11" s="264">
        <v>1</v>
      </c>
      <c r="S11" s="265">
        <f t="shared" si="2"/>
        <v>26.784000000000002</v>
      </c>
      <c r="T11" s="261"/>
      <c r="U11" s="252"/>
      <c r="V11" s="253"/>
      <c r="W11" s="254"/>
      <c r="X11" s="265">
        <f t="shared" si="3"/>
        <v>0</v>
      </c>
      <c r="Y11" s="44"/>
      <c r="Z11" s="45"/>
      <c r="AA11" s="160"/>
      <c r="AB11" s="161"/>
      <c r="AC11" s="57">
        <f t="shared" si="4"/>
        <v>0</v>
      </c>
      <c r="AD11" s="44"/>
      <c r="AE11" s="45"/>
      <c r="AF11" s="160"/>
      <c r="AG11" s="161"/>
      <c r="AH11" s="57">
        <f t="shared" si="5"/>
        <v>0</v>
      </c>
      <c r="AI11" s="44">
        <v>8</v>
      </c>
      <c r="AJ11" s="45">
        <v>8</v>
      </c>
      <c r="AK11" s="160">
        <v>5</v>
      </c>
      <c r="AL11" s="161">
        <v>1</v>
      </c>
      <c r="AM11" s="227">
        <f t="shared" si="6"/>
        <v>13.392000000000001</v>
      </c>
    </row>
    <row r="12" spans="1:39" ht="15.75" thickBot="1">
      <c r="A12" s="14" t="s">
        <v>18</v>
      </c>
      <c r="B12" s="15" t="s">
        <v>19</v>
      </c>
      <c r="C12" s="337"/>
      <c r="D12" s="55" t="s">
        <v>19</v>
      </c>
      <c r="E12" s="55" t="s">
        <v>69</v>
      </c>
      <c r="F12" s="39">
        <v>7000</v>
      </c>
      <c r="G12" s="39">
        <v>8</v>
      </c>
      <c r="H12" s="40">
        <v>8</v>
      </c>
      <c r="I12" s="41">
        <f t="shared" si="0"/>
        <v>31460.000000000004</v>
      </c>
      <c r="J12" s="39"/>
      <c r="K12" s="40"/>
      <c r="L12" s="158"/>
      <c r="M12" s="159"/>
      <c r="N12" s="41">
        <f t="shared" si="1"/>
        <v>0</v>
      </c>
      <c r="O12" s="247"/>
      <c r="P12" s="248"/>
      <c r="Q12" s="249"/>
      <c r="R12" s="250"/>
      <c r="S12" s="246">
        <f t="shared" si="2"/>
        <v>0</v>
      </c>
      <c r="T12" s="247">
        <v>9</v>
      </c>
      <c r="U12" s="248">
        <v>9</v>
      </c>
      <c r="V12" s="249"/>
      <c r="W12" s="250"/>
      <c r="X12" s="246">
        <f t="shared" si="3"/>
        <v>12.6</v>
      </c>
      <c r="Y12" s="39"/>
      <c r="Z12" s="40"/>
      <c r="AA12" s="158"/>
      <c r="AB12" s="159"/>
      <c r="AC12" s="41">
        <f t="shared" si="4"/>
        <v>0</v>
      </c>
      <c r="AD12" s="39">
        <v>9</v>
      </c>
      <c r="AE12" s="40">
        <v>8</v>
      </c>
      <c r="AF12" s="158"/>
      <c r="AG12" s="159"/>
      <c r="AH12" s="41">
        <f t="shared" si="5"/>
        <v>12.15</v>
      </c>
      <c r="AI12" s="39">
        <v>8</v>
      </c>
      <c r="AJ12" s="40">
        <v>8</v>
      </c>
      <c r="AK12" s="158"/>
      <c r="AL12" s="159"/>
      <c r="AM12" s="224">
        <f t="shared" si="6"/>
        <v>10.8</v>
      </c>
    </row>
    <row r="13" spans="1:39">
      <c r="A13" s="4" t="s">
        <v>23</v>
      </c>
      <c r="B13" s="11" t="s">
        <v>24</v>
      </c>
      <c r="C13" s="336" t="s">
        <v>23</v>
      </c>
      <c r="D13" s="34" t="s">
        <v>24</v>
      </c>
      <c r="E13" s="34" t="s">
        <v>67</v>
      </c>
      <c r="F13" s="35">
        <v>4000</v>
      </c>
      <c r="G13" s="35">
        <v>10</v>
      </c>
      <c r="H13" s="58">
        <v>1</v>
      </c>
      <c r="I13" s="37">
        <f t="shared" si="0"/>
        <v>26400.000000000004</v>
      </c>
      <c r="J13" s="35">
        <v>10</v>
      </c>
      <c r="K13" s="58">
        <v>1</v>
      </c>
      <c r="L13" s="166"/>
      <c r="M13" s="167"/>
      <c r="N13" s="37">
        <f t="shared" si="1"/>
        <v>20</v>
      </c>
      <c r="O13" s="237">
        <v>10</v>
      </c>
      <c r="P13" s="238">
        <v>5</v>
      </c>
      <c r="Q13" s="239"/>
      <c r="R13" s="240"/>
      <c r="S13" s="241">
        <f t="shared" si="2"/>
        <v>24</v>
      </c>
      <c r="T13" s="237"/>
      <c r="U13" s="238"/>
      <c r="V13" s="239"/>
      <c r="W13" s="240"/>
      <c r="X13" s="241">
        <f t="shared" si="3"/>
        <v>0</v>
      </c>
      <c r="Y13" s="35">
        <v>2</v>
      </c>
      <c r="Z13" s="36">
        <v>2</v>
      </c>
      <c r="AA13" s="154"/>
      <c r="AB13" s="155"/>
      <c r="AC13" s="37">
        <f t="shared" si="4"/>
        <v>2.1</v>
      </c>
      <c r="AD13" s="35"/>
      <c r="AE13" s="36"/>
      <c r="AF13" s="154"/>
      <c r="AG13" s="155"/>
      <c r="AH13" s="37">
        <f t="shared" si="5"/>
        <v>0</v>
      </c>
      <c r="AI13" s="35"/>
      <c r="AJ13" s="36"/>
      <c r="AK13" s="154"/>
      <c r="AL13" s="155"/>
      <c r="AM13" s="223">
        <f t="shared" si="6"/>
        <v>0</v>
      </c>
    </row>
    <row r="14" spans="1:39">
      <c r="A14" s="22" t="s">
        <v>23</v>
      </c>
      <c r="B14" s="8" t="s">
        <v>117</v>
      </c>
      <c r="C14" s="337"/>
      <c r="D14" s="55" t="s">
        <v>117</v>
      </c>
      <c r="E14" s="55" t="s">
        <v>67</v>
      </c>
      <c r="F14" s="95">
        <v>4000</v>
      </c>
      <c r="G14" s="95"/>
      <c r="H14" s="111"/>
      <c r="I14" s="96">
        <f t="shared" si="0"/>
        <v>4400</v>
      </c>
      <c r="J14" s="95"/>
      <c r="K14" s="111"/>
      <c r="L14" s="168"/>
      <c r="M14" s="169"/>
      <c r="N14" s="96">
        <f t="shared" si="1"/>
        <v>0</v>
      </c>
      <c r="O14" s="242"/>
      <c r="P14" s="243"/>
      <c r="Q14" s="244"/>
      <c r="R14" s="245"/>
      <c r="S14" s="266">
        <f t="shared" si="2"/>
        <v>0</v>
      </c>
      <c r="T14" s="242"/>
      <c r="U14" s="243"/>
      <c r="V14" s="244"/>
      <c r="W14" s="245"/>
      <c r="X14" s="266">
        <f t="shared" si="3"/>
        <v>0</v>
      </c>
      <c r="Y14" s="95"/>
      <c r="Z14" s="94"/>
      <c r="AA14" s="156"/>
      <c r="AB14" s="157"/>
      <c r="AC14" s="96">
        <f t="shared" si="4"/>
        <v>0</v>
      </c>
      <c r="AD14" s="95"/>
      <c r="AE14" s="94"/>
      <c r="AF14" s="156"/>
      <c r="AG14" s="157"/>
      <c r="AH14" s="96">
        <f t="shared" si="5"/>
        <v>0</v>
      </c>
      <c r="AI14" s="95"/>
      <c r="AJ14" s="94"/>
      <c r="AK14" s="156"/>
      <c r="AL14" s="157"/>
      <c r="AM14" s="228">
        <f t="shared" si="6"/>
        <v>0</v>
      </c>
    </row>
    <row r="15" spans="1:39" ht="15.75" thickBot="1">
      <c r="A15" s="5" t="s">
        <v>23</v>
      </c>
      <c r="B15" s="10" t="s">
        <v>25</v>
      </c>
      <c r="C15" s="338"/>
      <c r="D15" s="48" t="s">
        <v>25</v>
      </c>
      <c r="E15" s="48" t="s">
        <v>67</v>
      </c>
      <c r="F15" s="49">
        <v>4000</v>
      </c>
      <c r="G15" s="49"/>
      <c r="H15" s="50"/>
      <c r="I15" s="51">
        <f t="shared" si="0"/>
        <v>4400</v>
      </c>
      <c r="J15" s="49"/>
      <c r="K15" s="50"/>
      <c r="L15" s="170"/>
      <c r="M15" s="171"/>
      <c r="N15" s="51">
        <f t="shared" si="1"/>
        <v>0</v>
      </c>
      <c r="O15" s="267"/>
      <c r="P15" s="268"/>
      <c r="Q15" s="269"/>
      <c r="R15" s="270"/>
      <c r="S15" s="271">
        <f t="shared" si="2"/>
        <v>0</v>
      </c>
      <c r="T15" s="267"/>
      <c r="U15" s="268"/>
      <c r="V15" s="269"/>
      <c r="W15" s="270"/>
      <c r="X15" s="271">
        <f t="shared" si="3"/>
        <v>0</v>
      </c>
      <c r="Y15" s="49">
        <v>9</v>
      </c>
      <c r="Z15" s="59">
        <v>1</v>
      </c>
      <c r="AA15" s="194"/>
      <c r="AB15" s="195"/>
      <c r="AC15" s="51">
        <f t="shared" si="4"/>
        <v>9</v>
      </c>
      <c r="AD15" s="49"/>
      <c r="AE15" s="50"/>
      <c r="AF15" s="170"/>
      <c r="AG15" s="171"/>
      <c r="AH15" s="51">
        <f t="shared" si="5"/>
        <v>0</v>
      </c>
      <c r="AI15" s="49"/>
      <c r="AJ15" s="50"/>
      <c r="AK15" s="170"/>
      <c r="AL15" s="171"/>
      <c r="AM15" s="229">
        <f t="shared" si="6"/>
        <v>0</v>
      </c>
    </row>
    <row r="16" spans="1:39">
      <c r="A16" s="22" t="s">
        <v>41</v>
      </c>
      <c r="B16" s="8" t="s">
        <v>63</v>
      </c>
      <c r="C16" s="336" t="s">
        <v>41</v>
      </c>
      <c r="D16" s="55" t="s">
        <v>63</v>
      </c>
      <c r="E16" s="55" t="s">
        <v>67</v>
      </c>
      <c r="F16" s="44">
        <v>4000</v>
      </c>
      <c r="G16" s="44">
        <v>8</v>
      </c>
      <c r="H16" s="45">
        <v>1</v>
      </c>
      <c r="I16" s="46">
        <f t="shared" si="0"/>
        <v>22000</v>
      </c>
      <c r="J16" s="44">
        <v>3</v>
      </c>
      <c r="K16" s="60">
        <v>1</v>
      </c>
      <c r="L16" s="172"/>
      <c r="M16" s="173"/>
      <c r="N16" s="46">
        <f t="shared" si="1"/>
        <v>6</v>
      </c>
      <c r="O16" s="251"/>
      <c r="P16" s="252"/>
      <c r="Q16" s="253"/>
      <c r="R16" s="254"/>
      <c r="S16" s="255">
        <f t="shared" si="2"/>
        <v>0</v>
      </c>
      <c r="T16" s="251"/>
      <c r="U16" s="252"/>
      <c r="V16" s="253"/>
      <c r="W16" s="254"/>
      <c r="X16" s="255">
        <f t="shared" si="3"/>
        <v>0</v>
      </c>
      <c r="Y16" s="44"/>
      <c r="Z16" s="60"/>
      <c r="AA16" s="172"/>
      <c r="AB16" s="173"/>
      <c r="AC16" s="46">
        <f t="shared" si="4"/>
        <v>0</v>
      </c>
      <c r="AD16" s="44"/>
      <c r="AE16" s="60"/>
      <c r="AF16" s="172"/>
      <c r="AG16" s="173"/>
      <c r="AH16" s="46">
        <f t="shared" si="5"/>
        <v>0</v>
      </c>
      <c r="AI16" s="44"/>
      <c r="AJ16" s="45"/>
      <c r="AK16" s="160"/>
      <c r="AL16" s="161"/>
      <c r="AM16" s="225">
        <f t="shared" si="6"/>
        <v>0</v>
      </c>
    </row>
    <row r="17" spans="1:39">
      <c r="A17" s="22" t="s">
        <v>41</v>
      </c>
      <c r="B17" s="8" t="s">
        <v>125</v>
      </c>
      <c r="C17" s="388"/>
      <c r="D17" s="55" t="s">
        <v>125</v>
      </c>
      <c r="E17" s="55" t="s">
        <v>67</v>
      </c>
      <c r="F17" s="95">
        <v>4000</v>
      </c>
      <c r="G17" s="95"/>
      <c r="H17" s="94"/>
      <c r="I17" s="96">
        <f t="shared" si="0"/>
        <v>4400</v>
      </c>
      <c r="J17" s="95"/>
      <c r="K17" s="111"/>
      <c r="L17" s="168"/>
      <c r="M17" s="169"/>
      <c r="N17" s="96">
        <f t="shared" si="1"/>
        <v>0</v>
      </c>
      <c r="O17" s="242"/>
      <c r="P17" s="243"/>
      <c r="Q17" s="244"/>
      <c r="R17" s="245"/>
      <c r="S17" s="266">
        <f t="shared" si="2"/>
        <v>0</v>
      </c>
      <c r="T17" s="242"/>
      <c r="U17" s="243"/>
      <c r="V17" s="244"/>
      <c r="W17" s="245"/>
      <c r="X17" s="266">
        <f t="shared" si="3"/>
        <v>0</v>
      </c>
      <c r="Y17" s="95">
        <v>2</v>
      </c>
      <c r="Z17" s="127">
        <v>1</v>
      </c>
      <c r="AA17" s="168"/>
      <c r="AB17" s="169"/>
      <c r="AC17" s="96">
        <f t="shared" si="4"/>
        <v>2</v>
      </c>
      <c r="AD17" s="44">
        <v>3</v>
      </c>
      <c r="AE17" s="47">
        <v>1</v>
      </c>
      <c r="AF17" s="172"/>
      <c r="AG17" s="173"/>
      <c r="AH17" s="96">
        <f t="shared" si="5"/>
        <v>3</v>
      </c>
      <c r="AI17" s="95">
        <v>3</v>
      </c>
      <c r="AJ17" s="94">
        <v>1</v>
      </c>
      <c r="AK17" s="156"/>
      <c r="AL17" s="157"/>
      <c r="AM17" s="228">
        <f t="shared" si="6"/>
        <v>3</v>
      </c>
    </row>
    <row r="18" spans="1:39" ht="15.75" thickBot="1">
      <c r="A18" s="6" t="s">
        <v>41</v>
      </c>
      <c r="B18" s="8" t="s">
        <v>42</v>
      </c>
      <c r="C18" s="389"/>
      <c r="D18" s="55" t="s">
        <v>42</v>
      </c>
      <c r="E18" s="55" t="s">
        <v>67</v>
      </c>
      <c r="F18" s="39">
        <v>4000</v>
      </c>
      <c r="G18" s="39">
        <v>9</v>
      </c>
      <c r="H18" s="61">
        <v>1</v>
      </c>
      <c r="I18" s="41">
        <f t="shared" si="0"/>
        <v>24200.000000000004</v>
      </c>
      <c r="J18" s="39"/>
      <c r="K18" s="40"/>
      <c r="L18" s="158"/>
      <c r="M18" s="159"/>
      <c r="N18" s="41">
        <f t="shared" si="1"/>
        <v>0</v>
      </c>
      <c r="O18" s="247">
        <v>7</v>
      </c>
      <c r="P18" s="272">
        <v>1</v>
      </c>
      <c r="Q18" s="273"/>
      <c r="R18" s="274"/>
      <c r="S18" s="246">
        <f t="shared" si="2"/>
        <v>14</v>
      </c>
      <c r="T18" s="247">
        <v>9</v>
      </c>
      <c r="U18" s="272">
        <v>1</v>
      </c>
      <c r="V18" s="273"/>
      <c r="W18" s="274"/>
      <c r="X18" s="246">
        <f t="shared" si="3"/>
        <v>9</v>
      </c>
      <c r="Y18" s="39">
        <v>7</v>
      </c>
      <c r="Z18" s="61">
        <v>1</v>
      </c>
      <c r="AA18" s="188"/>
      <c r="AB18" s="189"/>
      <c r="AC18" s="41">
        <f t="shared" si="4"/>
        <v>7</v>
      </c>
      <c r="AD18" s="44"/>
      <c r="AE18" s="60"/>
      <c r="AF18" s="172"/>
      <c r="AG18" s="173"/>
      <c r="AH18" s="41">
        <f t="shared" si="5"/>
        <v>0</v>
      </c>
      <c r="AI18" s="39"/>
      <c r="AJ18" s="40"/>
      <c r="AK18" s="158"/>
      <c r="AL18" s="159"/>
      <c r="AM18" s="224">
        <f t="shared" si="6"/>
        <v>0</v>
      </c>
    </row>
    <row r="19" spans="1:39" ht="15.75" thickBot="1">
      <c r="A19" s="3" t="s">
        <v>33</v>
      </c>
      <c r="B19" s="9" t="s">
        <v>32</v>
      </c>
      <c r="C19" s="62" t="s">
        <v>33</v>
      </c>
      <c r="D19" s="63" t="s">
        <v>32</v>
      </c>
      <c r="E19" s="63"/>
      <c r="F19" s="64">
        <v>2000</v>
      </c>
      <c r="G19" s="64">
        <v>3</v>
      </c>
      <c r="H19" s="65">
        <v>1</v>
      </c>
      <c r="I19" s="66">
        <f t="shared" si="0"/>
        <v>8800</v>
      </c>
      <c r="J19" s="64">
        <v>2</v>
      </c>
      <c r="K19" s="67">
        <v>1</v>
      </c>
      <c r="L19" s="174"/>
      <c r="M19" s="175"/>
      <c r="N19" s="66">
        <f t="shared" si="1"/>
        <v>4</v>
      </c>
      <c r="O19" s="275"/>
      <c r="P19" s="276"/>
      <c r="Q19" s="277"/>
      <c r="R19" s="278"/>
      <c r="S19" s="279">
        <f t="shared" si="2"/>
        <v>0</v>
      </c>
      <c r="T19" s="275"/>
      <c r="U19" s="276"/>
      <c r="V19" s="277"/>
      <c r="W19" s="278"/>
      <c r="X19" s="279">
        <f t="shared" si="3"/>
        <v>0</v>
      </c>
      <c r="Y19" s="64"/>
      <c r="Z19" s="67"/>
      <c r="AA19" s="174"/>
      <c r="AB19" s="175"/>
      <c r="AC19" s="66">
        <f t="shared" si="4"/>
        <v>0</v>
      </c>
      <c r="AD19" s="64"/>
      <c r="AE19" s="67"/>
      <c r="AF19" s="174"/>
      <c r="AG19" s="175"/>
      <c r="AH19" s="66">
        <f t="shared" si="5"/>
        <v>0</v>
      </c>
      <c r="AI19" s="64"/>
      <c r="AJ19" s="67"/>
      <c r="AK19" s="174"/>
      <c r="AL19" s="175"/>
      <c r="AM19" s="68">
        <f t="shared" si="6"/>
        <v>0</v>
      </c>
    </row>
    <row r="20" spans="1:39">
      <c r="A20" s="14" t="s">
        <v>37</v>
      </c>
      <c r="B20" s="15" t="s">
        <v>45</v>
      </c>
      <c r="C20" s="336" t="s">
        <v>37</v>
      </c>
      <c r="D20" s="339" t="s">
        <v>45</v>
      </c>
      <c r="E20" s="339" t="s">
        <v>69</v>
      </c>
      <c r="F20" s="69">
        <v>7000</v>
      </c>
      <c r="G20" s="70">
        <v>8</v>
      </c>
      <c r="H20" s="71">
        <v>8</v>
      </c>
      <c r="I20" s="72">
        <f t="shared" si="0"/>
        <v>31460.000000000004</v>
      </c>
      <c r="J20" s="69"/>
      <c r="K20" s="73"/>
      <c r="L20" s="176"/>
      <c r="M20" s="177"/>
      <c r="N20" s="72">
        <f t="shared" si="1"/>
        <v>0</v>
      </c>
      <c r="O20" s="280"/>
      <c r="P20" s="281"/>
      <c r="Q20" s="282"/>
      <c r="R20" s="283"/>
      <c r="S20" s="284">
        <f t="shared" si="2"/>
        <v>0</v>
      </c>
      <c r="T20" s="280">
        <v>6</v>
      </c>
      <c r="U20" s="281">
        <v>6</v>
      </c>
      <c r="V20" s="282"/>
      <c r="W20" s="283"/>
      <c r="X20" s="284">
        <f t="shared" si="3"/>
        <v>7.5</v>
      </c>
      <c r="Y20" s="69"/>
      <c r="Z20" s="73"/>
      <c r="AA20" s="176"/>
      <c r="AB20" s="177"/>
      <c r="AC20" s="72">
        <f t="shared" si="4"/>
        <v>0</v>
      </c>
      <c r="AD20" s="69">
        <v>7</v>
      </c>
      <c r="AE20" s="73">
        <v>7</v>
      </c>
      <c r="AF20" s="176"/>
      <c r="AG20" s="177"/>
      <c r="AH20" s="72">
        <f t="shared" si="5"/>
        <v>9.1</v>
      </c>
      <c r="AI20" s="69"/>
      <c r="AJ20" s="73"/>
      <c r="AK20" s="176"/>
      <c r="AL20" s="177"/>
      <c r="AM20" s="230">
        <f t="shared" si="6"/>
        <v>0</v>
      </c>
    </row>
    <row r="21" spans="1:39">
      <c r="A21" s="14" t="s">
        <v>37</v>
      </c>
      <c r="B21" s="15" t="s">
        <v>45</v>
      </c>
      <c r="C21" s="337"/>
      <c r="D21" s="335"/>
      <c r="E21" s="340"/>
      <c r="F21" s="44"/>
      <c r="G21" s="56"/>
      <c r="H21" s="47"/>
      <c r="I21" s="46">
        <f t="shared" si="0"/>
        <v>0</v>
      </c>
      <c r="J21" s="44"/>
      <c r="K21" s="45"/>
      <c r="L21" s="160"/>
      <c r="M21" s="161"/>
      <c r="N21" s="46">
        <f t="shared" si="1"/>
        <v>0</v>
      </c>
      <c r="O21" s="44"/>
      <c r="P21" s="45"/>
      <c r="Q21" s="160"/>
      <c r="R21" s="161"/>
      <c r="S21" s="46">
        <f t="shared" si="2"/>
        <v>0</v>
      </c>
      <c r="T21" s="44"/>
      <c r="U21" s="45"/>
      <c r="V21" s="160"/>
      <c r="W21" s="161"/>
      <c r="X21" s="46">
        <f t="shared" si="3"/>
        <v>0</v>
      </c>
      <c r="Y21" s="44"/>
      <c r="Z21" s="45"/>
      <c r="AA21" s="160"/>
      <c r="AB21" s="161"/>
      <c r="AC21" s="46">
        <f t="shared" si="4"/>
        <v>0</v>
      </c>
      <c r="AD21" s="44">
        <v>6</v>
      </c>
      <c r="AE21" s="45">
        <v>6</v>
      </c>
      <c r="AF21" s="160"/>
      <c r="AG21" s="161"/>
      <c r="AH21" s="46">
        <f t="shared" si="5"/>
        <v>7.5</v>
      </c>
      <c r="AI21" s="44"/>
      <c r="AJ21" s="45"/>
      <c r="AK21" s="160"/>
      <c r="AL21" s="161"/>
      <c r="AM21" s="225">
        <f t="shared" si="6"/>
        <v>0</v>
      </c>
    </row>
    <row r="22" spans="1:39">
      <c r="A22" s="14" t="s">
        <v>37</v>
      </c>
      <c r="B22" s="15" t="s">
        <v>74</v>
      </c>
      <c r="C22" s="337"/>
      <c r="D22" s="91" t="s">
        <v>74</v>
      </c>
      <c r="E22" s="97" t="s">
        <v>69</v>
      </c>
      <c r="F22" s="44">
        <v>4000</v>
      </c>
      <c r="G22" s="56">
        <v>7</v>
      </c>
      <c r="H22" s="47">
        <v>7</v>
      </c>
      <c r="I22" s="46">
        <f t="shared" si="0"/>
        <v>24420.000000000004</v>
      </c>
      <c r="J22" s="44">
        <v>6</v>
      </c>
      <c r="K22" s="45">
        <v>6</v>
      </c>
      <c r="L22" s="160"/>
      <c r="M22" s="161"/>
      <c r="N22" s="46">
        <f t="shared" si="1"/>
        <v>15</v>
      </c>
      <c r="O22" s="44">
        <v>6</v>
      </c>
      <c r="P22" s="45">
        <v>6</v>
      </c>
      <c r="Q22" s="160"/>
      <c r="R22" s="161"/>
      <c r="S22" s="46">
        <f t="shared" si="2"/>
        <v>15</v>
      </c>
      <c r="T22" s="44"/>
      <c r="U22" s="45"/>
      <c r="V22" s="160"/>
      <c r="W22" s="161"/>
      <c r="X22" s="46">
        <f t="shared" si="3"/>
        <v>0</v>
      </c>
      <c r="Y22" s="44"/>
      <c r="Z22" s="45"/>
      <c r="AA22" s="160"/>
      <c r="AB22" s="161"/>
      <c r="AC22" s="46">
        <f t="shared" si="4"/>
        <v>0</v>
      </c>
      <c r="AD22" s="44"/>
      <c r="AE22" s="45"/>
      <c r="AF22" s="160"/>
      <c r="AG22" s="161"/>
      <c r="AH22" s="46">
        <f t="shared" si="5"/>
        <v>0</v>
      </c>
      <c r="AI22" s="44">
        <v>5</v>
      </c>
      <c r="AJ22" s="45">
        <v>5</v>
      </c>
      <c r="AK22" s="160"/>
      <c r="AL22" s="161"/>
      <c r="AM22" s="225">
        <f t="shared" si="6"/>
        <v>6</v>
      </c>
    </row>
    <row r="23" spans="1:39">
      <c r="A23" s="14" t="s">
        <v>37</v>
      </c>
      <c r="B23" s="15" t="s">
        <v>75</v>
      </c>
      <c r="C23" s="337"/>
      <c r="D23" s="55" t="s">
        <v>75</v>
      </c>
      <c r="E23" s="55" t="s">
        <v>69</v>
      </c>
      <c r="F23" s="44">
        <v>4000</v>
      </c>
      <c r="G23" s="128">
        <v>7</v>
      </c>
      <c r="H23" s="47">
        <v>7</v>
      </c>
      <c r="I23" s="46">
        <f t="shared" si="0"/>
        <v>24420.000000000004</v>
      </c>
      <c r="J23" s="44">
        <v>6</v>
      </c>
      <c r="K23" s="45">
        <v>6</v>
      </c>
      <c r="L23" s="160"/>
      <c r="M23" s="161"/>
      <c r="N23" s="46">
        <f t="shared" si="1"/>
        <v>15</v>
      </c>
      <c r="O23" s="44">
        <v>6</v>
      </c>
      <c r="P23" s="45">
        <v>6</v>
      </c>
      <c r="Q23" s="160"/>
      <c r="R23" s="161"/>
      <c r="S23" s="46">
        <f t="shared" si="2"/>
        <v>15</v>
      </c>
      <c r="T23" s="44"/>
      <c r="U23" s="45"/>
      <c r="V23" s="160"/>
      <c r="W23" s="161"/>
      <c r="X23" s="46">
        <f t="shared" si="3"/>
        <v>0</v>
      </c>
      <c r="Y23" s="44"/>
      <c r="Z23" s="45"/>
      <c r="AA23" s="160"/>
      <c r="AB23" s="161"/>
      <c r="AC23" s="46">
        <f t="shared" si="4"/>
        <v>0</v>
      </c>
      <c r="AD23" s="44"/>
      <c r="AE23" s="45"/>
      <c r="AF23" s="160"/>
      <c r="AG23" s="161"/>
      <c r="AH23" s="46">
        <f t="shared" si="5"/>
        <v>0</v>
      </c>
      <c r="AI23" s="44">
        <v>6</v>
      </c>
      <c r="AJ23" s="45">
        <v>6</v>
      </c>
      <c r="AK23" s="160"/>
      <c r="AL23" s="161"/>
      <c r="AM23" s="225">
        <f t="shared" si="6"/>
        <v>7.5</v>
      </c>
    </row>
    <row r="24" spans="1:39" ht="15.75" thickBot="1">
      <c r="A24" s="14" t="s">
        <v>37</v>
      </c>
      <c r="B24" s="15" t="s">
        <v>52</v>
      </c>
      <c r="C24" s="338"/>
      <c r="D24" s="91" t="s">
        <v>52</v>
      </c>
      <c r="E24" s="97" t="s">
        <v>69</v>
      </c>
      <c r="F24" s="74">
        <v>13000</v>
      </c>
      <c r="G24" s="75">
        <v>8</v>
      </c>
      <c r="H24" s="76">
        <v>2</v>
      </c>
      <c r="I24" s="77">
        <f t="shared" si="0"/>
        <v>32780</v>
      </c>
      <c r="J24" s="74">
        <v>7</v>
      </c>
      <c r="K24" s="78">
        <v>1</v>
      </c>
      <c r="L24" s="178"/>
      <c r="M24" s="179"/>
      <c r="N24" s="77">
        <f t="shared" si="1"/>
        <v>14</v>
      </c>
      <c r="O24" s="74">
        <v>7</v>
      </c>
      <c r="P24" s="78">
        <v>2</v>
      </c>
      <c r="Q24" s="178"/>
      <c r="R24" s="179"/>
      <c r="S24" s="77">
        <f t="shared" si="2"/>
        <v>14.700000000000001</v>
      </c>
      <c r="T24" s="74"/>
      <c r="U24" s="78"/>
      <c r="V24" s="178"/>
      <c r="W24" s="179"/>
      <c r="X24" s="77">
        <f t="shared" si="3"/>
        <v>0</v>
      </c>
      <c r="Y24" s="74"/>
      <c r="Z24" s="78"/>
      <c r="AA24" s="178"/>
      <c r="AB24" s="179"/>
      <c r="AC24" s="77">
        <f t="shared" si="4"/>
        <v>0</v>
      </c>
      <c r="AD24" s="74"/>
      <c r="AE24" s="78"/>
      <c r="AF24" s="178"/>
      <c r="AG24" s="179"/>
      <c r="AH24" s="77">
        <f t="shared" si="5"/>
        <v>0</v>
      </c>
      <c r="AI24" s="74">
        <v>7</v>
      </c>
      <c r="AJ24" s="78">
        <v>1</v>
      </c>
      <c r="AK24" s="178"/>
      <c r="AL24" s="179"/>
      <c r="AM24" s="231">
        <f t="shared" si="6"/>
        <v>7</v>
      </c>
    </row>
    <row r="25" spans="1:39">
      <c r="A25" s="12" t="s">
        <v>29</v>
      </c>
      <c r="B25" s="13" t="s">
        <v>30</v>
      </c>
      <c r="C25" s="336" t="s">
        <v>29</v>
      </c>
      <c r="D25" s="34" t="s">
        <v>30</v>
      </c>
      <c r="E25" s="34" t="s">
        <v>68</v>
      </c>
      <c r="F25" s="79">
        <v>7000</v>
      </c>
      <c r="G25" s="38">
        <v>7</v>
      </c>
      <c r="H25" s="38">
        <v>3</v>
      </c>
      <c r="I25" s="81">
        <f t="shared" si="0"/>
        <v>24640.000000000004</v>
      </c>
      <c r="J25" s="80">
        <v>5</v>
      </c>
      <c r="K25" s="38">
        <v>1</v>
      </c>
      <c r="L25" s="180"/>
      <c r="M25" s="181"/>
      <c r="N25" s="81">
        <f t="shared" si="1"/>
        <v>10</v>
      </c>
      <c r="O25" s="38">
        <v>7</v>
      </c>
      <c r="P25" s="38">
        <v>1</v>
      </c>
      <c r="Q25" s="180"/>
      <c r="R25" s="181"/>
      <c r="S25" s="81">
        <f t="shared" si="2"/>
        <v>14</v>
      </c>
      <c r="T25" s="80">
        <v>4</v>
      </c>
      <c r="U25" s="38">
        <v>3</v>
      </c>
      <c r="V25" s="180"/>
      <c r="W25" s="181"/>
      <c r="X25" s="81">
        <f t="shared" si="3"/>
        <v>4.4000000000000004</v>
      </c>
      <c r="Y25" s="38"/>
      <c r="Z25" s="38"/>
      <c r="AA25" s="180"/>
      <c r="AB25" s="181"/>
      <c r="AC25" s="81">
        <f t="shared" si="4"/>
        <v>0</v>
      </c>
      <c r="AD25" s="38"/>
      <c r="AE25" s="38"/>
      <c r="AF25" s="180"/>
      <c r="AG25" s="181"/>
      <c r="AH25" s="81">
        <f t="shared" si="5"/>
        <v>0</v>
      </c>
      <c r="AI25" s="80"/>
      <c r="AJ25" s="38"/>
      <c r="AK25" s="180"/>
      <c r="AL25" s="181"/>
      <c r="AM25" s="232">
        <f t="shared" si="6"/>
        <v>0</v>
      </c>
    </row>
    <row r="26" spans="1:39">
      <c r="A26" s="14" t="s">
        <v>29</v>
      </c>
      <c r="B26" s="15" t="s">
        <v>80</v>
      </c>
      <c r="C26" s="337"/>
      <c r="D26" s="334" t="s">
        <v>81</v>
      </c>
      <c r="E26" s="334" t="s">
        <v>67</v>
      </c>
      <c r="F26" s="82">
        <v>4000</v>
      </c>
      <c r="G26" s="42">
        <v>7</v>
      </c>
      <c r="H26" s="42">
        <v>3</v>
      </c>
      <c r="I26" s="84">
        <f t="shared" si="0"/>
        <v>21340</v>
      </c>
      <c r="J26" s="83"/>
      <c r="K26" s="42"/>
      <c r="L26" s="182"/>
      <c r="M26" s="183"/>
      <c r="N26" s="84">
        <f t="shared" si="1"/>
        <v>0</v>
      </c>
      <c r="O26" s="42">
        <v>6</v>
      </c>
      <c r="P26" s="42">
        <v>3</v>
      </c>
      <c r="Q26" s="182"/>
      <c r="R26" s="183"/>
      <c r="S26" s="84">
        <f t="shared" si="2"/>
        <v>13.200000000000001</v>
      </c>
      <c r="T26" s="83"/>
      <c r="U26" s="42"/>
      <c r="V26" s="182"/>
      <c r="W26" s="183"/>
      <c r="X26" s="84">
        <f t="shared" si="3"/>
        <v>0</v>
      </c>
      <c r="Y26" s="42"/>
      <c r="Z26" s="42"/>
      <c r="AA26" s="182"/>
      <c r="AB26" s="183"/>
      <c r="AC26" s="84">
        <f t="shared" si="4"/>
        <v>0</v>
      </c>
      <c r="AD26" s="42"/>
      <c r="AE26" s="42"/>
      <c r="AF26" s="182"/>
      <c r="AG26" s="183"/>
      <c r="AH26" s="84">
        <f t="shared" si="5"/>
        <v>0</v>
      </c>
      <c r="AI26" s="83">
        <v>4</v>
      </c>
      <c r="AJ26" s="42">
        <v>2</v>
      </c>
      <c r="AK26" s="182"/>
      <c r="AL26" s="183"/>
      <c r="AM26" s="233">
        <f t="shared" si="6"/>
        <v>4.2</v>
      </c>
    </row>
    <row r="27" spans="1:39">
      <c r="A27" s="14" t="s">
        <v>29</v>
      </c>
      <c r="B27" s="15" t="s">
        <v>80</v>
      </c>
      <c r="C27" s="337"/>
      <c r="D27" s="335"/>
      <c r="E27" s="335"/>
      <c r="F27" s="85"/>
      <c r="G27" s="47"/>
      <c r="H27" s="47"/>
      <c r="I27" s="57">
        <f t="shared" si="0"/>
        <v>0</v>
      </c>
      <c r="J27" s="56"/>
      <c r="K27" s="47"/>
      <c r="L27" s="164"/>
      <c r="M27" s="165"/>
      <c r="N27" s="57">
        <f t="shared" si="1"/>
        <v>0</v>
      </c>
      <c r="O27" s="47"/>
      <c r="P27" s="47"/>
      <c r="Q27" s="164"/>
      <c r="R27" s="165"/>
      <c r="S27" s="57">
        <f t="shared" si="2"/>
        <v>0</v>
      </c>
      <c r="T27" s="56"/>
      <c r="U27" s="47"/>
      <c r="V27" s="164"/>
      <c r="W27" s="165"/>
      <c r="X27" s="57">
        <f t="shared" si="3"/>
        <v>0</v>
      </c>
      <c r="Y27" s="47"/>
      <c r="Z27" s="47"/>
      <c r="AA27" s="164"/>
      <c r="AB27" s="165"/>
      <c r="AC27" s="57">
        <f t="shared" si="4"/>
        <v>0</v>
      </c>
      <c r="AD27" s="47"/>
      <c r="AE27" s="47"/>
      <c r="AF27" s="164"/>
      <c r="AG27" s="165"/>
      <c r="AH27" s="57">
        <f t="shared" si="5"/>
        <v>0</v>
      </c>
      <c r="AI27" s="56">
        <v>4</v>
      </c>
      <c r="AJ27" s="47">
        <v>1</v>
      </c>
      <c r="AK27" s="164"/>
      <c r="AL27" s="165"/>
      <c r="AM27" s="227">
        <f t="shared" si="6"/>
        <v>4</v>
      </c>
    </row>
    <row r="28" spans="1:39">
      <c r="A28" s="14" t="s">
        <v>29</v>
      </c>
      <c r="B28" s="15" t="s">
        <v>49</v>
      </c>
      <c r="C28" s="337"/>
      <c r="D28" s="387" t="s">
        <v>49</v>
      </c>
      <c r="E28" s="334" t="s">
        <v>67</v>
      </c>
      <c r="F28" s="139">
        <v>4000</v>
      </c>
      <c r="G28" s="127"/>
      <c r="H28" s="127"/>
      <c r="I28" s="141">
        <f t="shared" si="0"/>
        <v>4400</v>
      </c>
      <c r="J28" s="140">
        <v>7</v>
      </c>
      <c r="K28" s="127">
        <v>3</v>
      </c>
      <c r="L28" s="184"/>
      <c r="M28" s="185"/>
      <c r="N28" s="141">
        <f t="shared" si="1"/>
        <v>15.400000000000002</v>
      </c>
      <c r="O28" s="127"/>
      <c r="P28" s="127"/>
      <c r="Q28" s="184"/>
      <c r="R28" s="185"/>
      <c r="S28" s="141">
        <f t="shared" si="2"/>
        <v>0</v>
      </c>
      <c r="T28" s="140">
        <v>6</v>
      </c>
      <c r="U28" s="127">
        <v>3</v>
      </c>
      <c r="V28" s="184"/>
      <c r="W28" s="185"/>
      <c r="X28" s="141">
        <f t="shared" si="3"/>
        <v>6.6000000000000005</v>
      </c>
      <c r="Y28" s="127"/>
      <c r="Z28" s="127"/>
      <c r="AA28" s="184"/>
      <c r="AB28" s="185"/>
      <c r="AC28" s="141">
        <f t="shared" si="4"/>
        <v>0</v>
      </c>
      <c r="AD28" s="127">
        <v>6</v>
      </c>
      <c r="AE28" s="127">
        <v>3</v>
      </c>
      <c r="AF28" s="184"/>
      <c r="AG28" s="185"/>
      <c r="AH28" s="141">
        <f t="shared" si="5"/>
        <v>6.6000000000000005</v>
      </c>
      <c r="AI28" s="140"/>
      <c r="AJ28" s="127"/>
      <c r="AK28" s="184"/>
      <c r="AL28" s="185"/>
      <c r="AM28" s="234">
        <f t="shared" si="6"/>
        <v>0</v>
      </c>
    </row>
    <row r="29" spans="1:39">
      <c r="A29" s="14" t="s">
        <v>29</v>
      </c>
      <c r="B29" s="15" t="s">
        <v>49</v>
      </c>
      <c r="C29" s="337"/>
      <c r="D29" s="335"/>
      <c r="E29" s="335"/>
      <c r="F29" s="85"/>
      <c r="G29" s="47"/>
      <c r="H29" s="47"/>
      <c r="I29" s="57">
        <f t="shared" si="0"/>
        <v>0</v>
      </c>
      <c r="J29" s="56"/>
      <c r="K29" s="47"/>
      <c r="L29" s="164"/>
      <c r="M29" s="165"/>
      <c r="N29" s="57">
        <f t="shared" si="1"/>
        <v>0</v>
      </c>
      <c r="O29" s="47"/>
      <c r="P29" s="47"/>
      <c r="Q29" s="164"/>
      <c r="R29" s="165"/>
      <c r="S29" s="57">
        <f t="shared" si="2"/>
        <v>0</v>
      </c>
      <c r="T29" s="56">
        <v>5</v>
      </c>
      <c r="U29" s="47">
        <v>3</v>
      </c>
      <c r="V29" s="164"/>
      <c r="W29" s="165"/>
      <c r="X29" s="57">
        <f t="shared" si="3"/>
        <v>5.5</v>
      </c>
      <c r="Y29" s="47"/>
      <c r="Z29" s="47"/>
      <c r="AA29" s="164"/>
      <c r="AB29" s="165"/>
      <c r="AC29" s="57">
        <f t="shared" si="4"/>
        <v>0</v>
      </c>
      <c r="AD29" s="47"/>
      <c r="AE29" s="47"/>
      <c r="AF29" s="164"/>
      <c r="AG29" s="165"/>
      <c r="AH29" s="57">
        <f t="shared" si="5"/>
        <v>0</v>
      </c>
      <c r="AI29" s="56"/>
      <c r="AJ29" s="47"/>
      <c r="AK29" s="164"/>
      <c r="AL29" s="165"/>
      <c r="AM29" s="227">
        <f t="shared" si="6"/>
        <v>0</v>
      </c>
    </row>
    <row r="30" spans="1:39" ht="15.75" thickBot="1">
      <c r="A30" s="16" t="s">
        <v>29</v>
      </c>
      <c r="B30" s="17" t="s">
        <v>31</v>
      </c>
      <c r="C30" s="338"/>
      <c r="D30" s="48" t="s">
        <v>31</v>
      </c>
      <c r="E30" s="48" t="s">
        <v>67</v>
      </c>
      <c r="F30" s="86">
        <v>13000</v>
      </c>
      <c r="G30" s="53">
        <v>9</v>
      </c>
      <c r="H30" s="53">
        <v>4</v>
      </c>
      <c r="I30" s="54">
        <f t="shared" si="0"/>
        <v>37070</v>
      </c>
      <c r="J30" s="52">
        <v>8</v>
      </c>
      <c r="K30" s="53">
        <v>3</v>
      </c>
      <c r="L30" s="162">
        <v>3</v>
      </c>
      <c r="M30" s="163">
        <v>1</v>
      </c>
      <c r="N30" s="54">
        <f t="shared" si="1"/>
        <v>20.134399999999999</v>
      </c>
      <c r="O30" s="53">
        <v>9</v>
      </c>
      <c r="P30" s="53">
        <v>3</v>
      </c>
      <c r="Q30" s="162">
        <v>3</v>
      </c>
      <c r="R30" s="163">
        <v>1</v>
      </c>
      <c r="S30" s="54">
        <f t="shared" si="2"/>
        <v>22.651199999999999</v>
      </c>
      <c r="T30" s="52"/>
      <c r="U30" s="53"/>
      <c r="V30" s="162"/>
      <c r="W30" s="163"/>
      <c r="X30" s="54">
        <f t="shared" si="3"/>
        <v>0</v>
      </c>
      <c r="Y30" s="53">
        <v>8</v>
      </c>
      <c r="Z30" s="53">
        <v>2</v>
      </c>
      <c r="AA30" s="162">
        <v>2</v>
      </c>
      <c r="AB30" s="163">
        <v>1</v>
      </c>
      <c r="AC30" s="54">
        <f t="shared" si="4"/>
        <v>9.2064000000000004</v>
      </c>
      <c r="AD30" s="53"/>
      <c r="AE30" s="53"/>
      <c r="AF30" s="162"/>
      <c r="AG30" s="163"/>
      <c r="AH30" s="54">
        <f t="shared" si="5"/>
        <v>0</v>
      </c>
      <c r="AI30" s="52"/>
      <c r="AJ30" s="53"/>
      <c r="AK30" s="162"/>
      <c r="AL30" s="163"/>
      <c r="AM30" s="226">
        <f t="shared" si="6"/>
        <v>0</v>
      </c>
    </row>
    <row r="31" spans="1:39">
      <c r="A31" s="12" t="s">
        <v>148</v>
      </c>
      <c r="B31" s="13" t="s">
        <v>94</v>
      </c>
      <c r="C31" s="336" t="s">
        <v>148</v>
      </c>
      <c r="D31" s="309" t="s">
        <v>94</v>
      </c>
      <c r="E31" s="309" t="s">
        <v>67</v>
      </c>
      <c r="F31" s="310">
        <v>7000</v>
      </c>
      <c r="G31" s="71">
        <v>6</v>
      </c>
      <c r="H31" s="71">
        <v>2</v>
      </c>
      <c r="I31" s="311">
        <f t="shared" ref="I31:I33" si="14">((2000*G31)*(1+0.05*(H31-1))+F31)*(1+0.05*$B$2)</f>
        <v>21560</v>
      </c>
      <c r="J31" s="70">
        <v>7</v>
      </c>
      <c r="K31" s="71">
        <v>1</v>
      </c>
      <c r="L31" s="312">
        <v>1</v>
      </c>
      <c r="M31" s="313">
        <v>1</v>
      </c>
      <c r="N31" s="311">
        <f t="shared" ref="N31:N33" si="15">(2*J31)*(1+0.05*(K31-1))*(1+0.04*L31*(1+0.2*M31))</f>
        <v>14.672000000000001</v>
      </c>
      <c r="O31" s="71">
        <v>6</v>
      </c>
      <c r="P31" s="71">
        <v>1</v>
      </c>
      <c r="Q31" s="312">
        <v>1</v>
      </c>
      <c r="R31" s="313">
        <v>1</v>
      </c>
      <c r="S31" s="311">
        <f t="shared" ref="S31:S33" si="16">(2*O31)*(1+0.05*(P31-1))*(1+0.04*Q31*(1+0.2*R31))</f>
        <v>12.576000000000001</v>
      </c>
      <c r="T31" s="70"/>
      <c r="U31" s="71"/>
      <c r="V31" s="312"/>
      <c r="W31" s="313"/>
      <c r="X31" s="311">
        <f t="shared" ref="X31:X33" si="17">(1*T31)*(1+0.05*(U31-1))*(1+0.04*V31*(1+0.2*W31))</f>
        <v>0</v>
      </c>
      <c r="Y31" s="71">
        <v>5</v>
      </c>
      <c r="Z31" s="71">
        <v>5</v>
      </c>
      <c r="AA31" s="312">
        <v>1</v>
      </c>
      <c r="AB31" s="313">
        <v>1</v>
      </c>
      <c r="AC31" s="311">
        <f t="shared" ref="AC31:AC33" si="18">(1*Y31)*(1+0.05*(Z31-1))*(1+0.04*AA31*(1+0.2*AB31))</f>
        <v>6.2880000000000003</v>
      </c>
      <c r="AD31" s="71"/>
      <c r="AE31" s="71"/>
      <c r="AF31" s="312"/>
      <c r="AG31" s="313"/>
      <c r="AH31" s="311">
        <f t="shared" ref="AH31:AH33" si="19">(1*AD31)*(1+0.05*(AE31-1))*(1+0.04*AF31*(1+0.2*AG31))</f>
        <v>0</v>
      </c>
      <c r="AI31" s="70"/>
      <c r="AJ31" s="71"/>
      <c r="AK31" s="312"/>
      <c r="AL31" s="313"/>
      <c r="AM31" s="314">
        <f t="shared" ref="AM31:AM33" si="20">(1*AI31)*(1+0.05*(AJ31-1))*(1+0.04*AK31*(1+0.2*AL31))</f>
        <v>0</v>
      </c>
    </row>
    <row r="32" spans="1:39">
      <c r="A32" s="14" t="s">
        <v>148</v>
      </c>
      <c r="B32" s="15" t="s">
        <v>93</v>
      </c>
      <c r="C32" s="337"/>
      <c r="D32" s="334" t="s">
        <v>93</v>
      </c>
      <c r="E32" s="334" t="s">
        <v>67</v>
      </c>
      <c r="F32" s="82">
        <v>4000</v>
      </c>
      <c r="G32" s="42"/>
      <c r="H32" s="42"/>
      <c r="I32" s="84">
        <f t="shared" si="14"/>
        <v>4400</v>
      </c>
      <c r="J32" s="83">
        <v>2</v>
      </c>
      <c r="K32" s="42">
        <v>2</v>
      </c>
      <c r="L32" s="182"/>
      <c r="M32" s="183"/>
      <c r="N32" s="84">
        <f t="shared" si="15"/>
        <v>4.2</v>
      </c>
      <c r="O32" s="42">
        <v>2</v>
      </c>
      <c r="P32" s="42">
        <v>1</v>
      </c>
      <c r="Q32" s="182"/>
      <c r="R32" s="183"/>
      <c r="S32" s="84"/>
      <c r="T32" s="83">
        <v>2</v>
      </c>
      <c r="U32" s="42">
        <v>2</v>
      </c>
      <c r="V32" s="182"/>
      <c r="W32" s="183"/>
      <c r="X32" s="84"/>
      <c r="Y32" s="42"/>
      <c r="Z32" s="42"/>
      <c r="AA32" s="182"/>
      <c r="AB32" s="183"/>
      <c r="AC32" s="84"/>
      <c r="AD32" s="42"/>
      <c r="AE32" s="42"/>
      <c r="AF32" s="182"/>
      <c r="AG32" s="183"/>
      <c r="AH32" s="84"/>
      <c r="AI32" s="83"/>
      <c r="AJ32" s="42"/>
      <c r="AK32" s="182"/>
      <c r="AL32" s="183"/>
      <c r="AM32" s="233"/>
    </row>
    <row r="33" spans="1:39" ht="15.75" thickBot="1">
      <c r="A33" s="16" t="s">
        <v>148</v>
      </c>
      <c r="B33" s="17" t="s">
        <v>93</v>
      </c>
      <c r="C33" s="341"/>
      <c r="D33" s="342"/>
      <c r="E33" s="342"/>
      <c r="F33" s="321"/>
      <c r="G33" s="315"/>
      <c r="H33" s="315"/>
      <c r="I33" s="316">
        <f t="shared" si="14"/>
        <v>0</v>
      </c>
      <c r="J33" s="317">
        <v>1</v>
      </c>
      <c r="K33" s="315">
        <v>1</v>
      </c>
      <c r="L33" s="318"/>
      <c r="M33" s="319"/>
      <c r="N33" s="316">
        <f t="shared" si="15"/>
        <v>2</v>
      </c>
      <c r="O33" s="315"/>
      <c r="P33" s="315"/>
      <c r="Q33" s="318"/>
      <c r="R33" s="319"/>
      <c r="S33" s="316">
        <f t="shared" si="16"/>
        <v>0</v>
      </c>
      <c r="T33" s="317"/>
      <c r="U33" s="315"/>
      <c r="V33" s="318"/>
      <c r="W33" s="319"/>
      <c r="X33" s="316">
        <f t="shared" si="17"/>
        <v>0</v>
      </c>
      <c r="Y33" s="315"/>
      <c r="Z33" s="315"/>
      <c r="AA33" s="318"/>
      <c r="AB33" s="319"/>
      <c r="AC33" s="316">
        <f t="shared" si="18"/>
        <v>0</v>
      </c>
      <c r="AD33" s="315"/>
      <c r="AE33" s="315"/>
      <c r="AF33" s="318"/>
      <c r="AG33" s="319"/>
      <c r="AH33" s="316">
        <f t="shared" si="19"/>
        <v>0</v>
      </c>
      <c r="AI33" s="317"/>
      <c r="AJ33" s="315"/>
      <c r="AK33" s="318"/>
      <c r="AL33" s="319"/>
      <c r="AM33" s="320">
        <f t="shared" si="20"/>
        <v>0</v>
      </c>
    </row>
    <row r="34" spans="1:39">
      <c r="A34" s="14" t="s">
        <v>0</v>
      </c>
      <c r="B34" s="15" t="s">
        <v>3</v>
      </c>
      <c r="C34" s="337" t="s">
        <v>0</v>
      </c>
      <c r="D34" s="43" t="s">
        <v>3</v>
      </c>
      <c r="E34" s="43" t="s">
        <v>67</v>
      </c>
      <c r="F34" s="87">
        <v>13000</v>
      </c>
      <c r="G34" s="45">
        <v>9</v>
      </c>
      <c r="H34" s="45">
        <v>5</v>
      </c>
      <c r="I34" s="46">
        <f t="shared" si="0"/>
        <v>38060</v>
      </c>
      <c r="J34" s="44">
        <v>7</v>
      </c>
      <c r="K34" s="45">
        <v>5</v>
      </c>
      <c r="L34" s="160">
        <v>5</v>
      </c>
      <c r="M34" s="161">
        <v>1</v>
      </c>
      <c r="N34" s="46">
        <f t="shared" si="1"/>
        <v>20.832000000000001</v>
      </c>
      <c r="O34" s="45">
        <v>7</v>
      </c>
      <c r="P34" s="45">
        <v>5</v>
      </c>
      <c r="Q34" s="160">
        <v>5</v>
      </c>
      <c r="R34" s="161">
        <v>1</v>
      </c>
      <c r="S34" s="46">
        <f t="shared" si="2"/>
        <v>20.832000000000001</v>
      </c>
      <c r="T34" s="44"/>
      <c r="U34" s="45"/>
      <c r="V34" s="160"/>
      <c r="W34" s="161"/>
      <c r="X34" s="46">
        <f t="shared" si="3"/>
        <v>0</v>
      </c>
      <c r="Y34" s="45">
        <v>7</v>
      </c>
      <c r="Z34" s="45">
        <v>7</v>
      </c>
      <c r="AA34" s="160">
        <v>2</v>
      </c>
      <c r="AB34" s="161">
        <v>1</v>
      </c>
      <c r="AC34" s="46">
        <f t="shared" si="4"/>
        <v>9.9736000000000011</v>
      </c>
      <c r="AD34" s="45"/>
      <c r="AE34" s="45"/>
      <c r="AF34" s="160"/>
      <c r="AG34" s="161"/>
      <c r="AH34" s="46">
        <f t="shared" si="5"/>
        <v>0</v>
      </c>
      <c r="AI34" s="44"/>
      <c r="AJ34" s="45"/>
      <c r="AK34" s="160"/>
      <c r="AL34" s="161"/>
      <c r="AM34" s="225">
        <f t="shared" si="6"/>
        <v>0</v>
      </c>
    </row>
    <row r="35" spans="1:39">
      <c r="A35" s="14" t="s">
        <v>0</v>
      </c>
      <c r="B35" s="15" t="s">
        <v>61</v>
      </c>
      <c r="C35" s="337"/>
      <c r="D35" s="334" t="s">
        <v>61</v>
      </c>
      <c r="E35" s="334" t="s">
        <v>67</v>
      </c>
      <c r="F35" s="88">
        <v>7000</v>
      </c>
      <c r="G35" s="42">
        <v>9</v>
      </c>
      <c r="H35" s="42">
        <v>9</v>
      </c>
      <c r="I35" s="41">
        <f t="shared" si="0"/>
        <v>35420</v>
      </c>
      <c r="J35" s="39"/>
      <c r="K35" s="40"/>
      <c r="L35" s="158"/>
      <c r="M35" s="159"/>
      <c r="N35" s="41">
        <f t="shared" si="1"/>
        <v>0</v>
      </c>
      <c r="O35" s="40"/>
      <c r="P35" s="40"/>
      <c r="Q35" s="158"/>
      <c r="R35" s="159"/>
      <c r="S35" s="41">
        <f t="shared" si="2"/>
        <v>0</v>
      </c>
      <c r="T35" s="39"/>
      <c r="U35" s="40"/>
      <c r="V35" s="158"/>
      <c r="W35" s="159"/>
      <c r="X35" s="41">
        <f t="shared" si="3"/>
        <v>0</v>
      </c>
      <c r="Y35" s="40">
        <v>6</v>
      </c>
      <c r="Z35" s="40">
        <v>6</v>
      </c>
      <c r="AA35" s="158"/>
      <c r="AB35" s="159"/>
      <c r="AC35" s="41">
        <f t="shared" si="4"/>
        <v>7.5</v>
      </c>
      <c r="AD35" s="40"/>
      <c r="AE35" s="40"/>
      <c r="AF35" s="158"/>
      <c r="AG35" s="159"/>
      <c r="AH35" s="41">
        <f t="shared" si="5"/>
        <v>0</v>
      </c>
      <c r="AI35" s="39">
        <v>7</v>
      </c>
      <c r="AJ35" s="40">
        <v>7</v>
      </c>
      <c r="AK35" s="158"/>
      <c r="AL35" s="159"/>
      <c r="AM35" s="224">
        <f t="shared" si="6"/>
        <v>9.1</v>
      </c>
    </row>
    <row r="36" spans="1:39">
      <c r="A36" s="14" t="s">
        <v>0</v>
      </c>
      <c r="B36" s="15" t="s">
        <v>61</v>
      </c>
      <c r="C36" s="337"/>
      <c r="D36" s="335"/>
      <c r="E36" s="335"/>
      <c r="F36" s="87"/>
      <c r="G36" s="47">
        <v>9</v>
      </c>
      <c r="H36" s="47">
        <v>9</v>
      </c>
      <c r="I36" s="46">
        <f t="shared" si="0"/>
        <v>27720.000000000004</v>
      </c>
      <c r="J36" s="44"/>
      <c r="K36" s="45"/>
      <c r="L36" s="160"/>
      <c r="M36" s="161"/>
      <c r="N36" s="46">
        <f t="shared" si="1"/>
        <v>0</v>
      </c>
      <c r="O36" s="45"/>
      <c r="P36" s="45"/>
      <c r="Q36" s="160"/>
      <c r="R36" s="161"/>
      <c r="S36" s="46">
        <f t="shared" si="2"/>
        <v>0</v>
      </c>
      <c r="T36" s="44"/>
      <c r="U36" s="45"/>
      <c r="V36" s="160"/>
      <c r="W36" s="161"/>
      <c r="X36" s="46">
        <f t="shared" si="3"/>
        <v>0</v>
      </c>
      <c r="Y36" s="45"/>
      <c r="Z36" s="45"/>
      <c r="AA36" s="160"/>
      <c r="AB36" s="161"/>
      <c r="AC36" s="46">
        <f t="shared" si="4"/>
        <v>0</v>
      </c>
      <c r="AD36" s="45"/>
      <c r="AE36" s="45"/>
      <c r="AF36" s="160"/>
      <c r="AG36" s="161"/>
      <c r="AH36" s="46">
        <f t="shared" si="5"/>
        <v>0</v>
      </c>
      <c r="AI36" s="44"/>
      <c r="AJ36" s="45"/>
      <c r="AK36" s="160"/>
      <c r="AL36" s="161"/>
      <c r="AM36" s="225">
        <f t="shared" si="6"/>
        <v>0</v>
      </c>
    </row>
    <row r="37" spans="1:39">
      <c r="A37" s="14" t="s">
        <v>0</v>
      </c>
      <c r="B37" s="15" t="s">
        <v>144</v>
      </c>
      <c r="C37" s="337"/>
      <c r="D37" s="97" t="s">
        <v>144</v>
      </c>
      <c r="E37" s="97" t="s">
        <v>67</v>
      </c>
      <c r="F37" s="93">
        <v>4000</v>
      </c>
      <c r="G37" s="127">
        <v>7</v>
      </c>
      <c r="H37" s="127">
        <v>7</v>
      </c>
      <c r="I37" s="46">
        <f t="shared" si="0"/>
        <v>24420.000000000004</v>
      </c>
      <c r="J37" s="95"/>
      <c r="K37" s="94"/>
      <c r="L37" s="156"/>
      <c r="M37" s="157"/>
      <c r="N37" s="46">
        <f t="shared" si="1"/>
        <v>0</v>
      </c>
      <c r="O37" s="94">
        <v>6</v>
      </c>
      <c r="P37" s="94">
        <v>6</v>
      </c>
      <c r="Q37" s="156"/>
      <c r="R37" s="157"/>
      <c r="S37" s="46">
        <f t="shared" si="2"/>
        <v>15</v>
      </c>
      <c r="T37" s="95"/>
      <c r="U37" s="94"/>
      <c r="V37" s="156"/>
      <c r="W37" s="157"/>
      <c r="X37" s="96"/>
      <c r="Y37" s="94">
        <v>5</v>
      </c>
      <c r="Z37" s="94">
        <v>5</v>
      </c>
      <c r="AA37" s="156"/>
      <c r="AB37" s="157"/>
      <c r="AC37" s="46">
        <f t="shared" si="4"/>
        <v>6</v>
      </c>
      <c r="AD37" s="94"/>
      <c r="AE37" s="94"/>
      <c r="AF37" s="156"/>
      <c r="AG37" s="157"/>
      <c r="AH37" s="46">
        <f t="shared" si="5"/>
        <v>0</v>
      </c>
      <c r="AI37" s="95">
        <v>4</v>
      </c>
      <c r="AJ37" s="94">
        <v>4</v>
      </c>
      <c r="AK37" s="156"/>
      <c r="AL37" s="157"/>
      <c r="AM37" s="225">
        <f t="shared" si="6"/>
        <v>4.5999999999999996</v>
      </c>
    </row>
    <row r="38" spans="1:39">
      <c r="A38" s="14" t="s">
        <v>0</v>
      </c>
      <c r="B38" s="15" t="s">
        <v>62</v>
      </c>
      <c r="C38" s="337"/>
      <c r="D38" s="387" t="s">
        <v>62</v>
      </c>
      <c r="E38" s="387" t="s">
        <v>67</v>
      </c>
      <c r="F38" s="88">
        <v>7000</v>
      </c>
      <c r="G38" s="42">
        <v>8</v>
      </c>
      <c r="H38" s="42">
        <v>8</v>
      </c>
      <c r="I38" s="41">
        <f t="shared" si="0"/>
        <v>31460.000000000004</v>
      </c>
      <c r="J38" s="39">
        <v>6</v>
      </c>
      <c r="K38" s="40">
        <v>6</v>
      </c>
      <c r="L38" s="158"/>
      <c r="M38" s="159"/>
      <c r="N38" s="41">
        <f t="shared" si="1"/>
        <v>15</v>
      </c>
      <c r="O38" s="40">
        <v>7</v>
      </c>
      <c r="P38" s="112">
        <v>7</v>
      </c>
      <c r="Q38" s="190"/>
      <c r="R38" s="191"/>
      <c r="S38" s="41">
        <f t="shared" si="2"/>
        <v>18.2</v>
      </c>
      <c r="T38" s="39"/>
      <c r="U38" s="40"/>
      <c r="V38" s="158"/>
      <c r="W38" s="159"/>
      <c r="X38" s="41">
        <f t="shared" si="3"/>
        <v>0</v>
      </c>
      <c r="Y38" s="40"/>
      <c r="Z38" s="40"/>
      <c r="AA38" s="158"/>
      <c r="AB38" s="159"/>
      <c r="AC38" s="41">
        <f t="shared" si="4"/>
        <v>0</v>
      </c>
      <c r="AD38" s="40"/>
      <c r="AE38" s="40"/>
      <c r="AF38" s="158"/>
      <c r="AG38" s="159"/>
      <c r="AH38" s="41">
        <f t="shared" si="5"/>
        <v>0</v>
      </c>
      <c r="AI38" s="39"/>
      <c r="AJ38" s="40"/>
      <c r="AK38" s="158"/>
      <c r="AL38" s="159"/>
      <c r="AM38" s="224">
        <f t="shared" si="6"/>
        <v>0</v>
      </c>
    </row>
    <row r="39" spans="1:39">
      <c r="A39" s="14" t="s">
        <v>0</v>
      </c>
      <c r="B39" s="15" t="s">
        <v>62</v>
      </c>
      <c r="C39" s="337"/>
      <c r="D39" s="335"/>
      <c r="E39" s="335"/>
      <c r="F39" s="87"/>
      <c r="G39" s="47">
        <v>8</v>
      </c>
      <c r="H39" s="47">
        <v>8</v>
      </c>
      <c r="I39" s="46">
        <f t="shared" si="0"/>
        <v>23760.000000000004</v>
      </c>
      <c r="J39" s="44"/>
      <c r="K39" s="45"/>
      <c r="L39" s="160"/>
      <c r="M39" s="161"/>
      <c r="N39" s="46">
        <f t="shared" si="1"/>
        <v>0</v>
      </c>
      <c r="O39" s="45"/>
      <c r="P39" s="45"/>
      <c r="Q39" s="160"/>
      <c r="R39" s="161"/>
      <c r="S39" s="46">
        <f t="shared" si="2"/>
        <v>0</v>
      </c>
      <c r="T39" s="44"/>
      <c r="U39" s="45"/>
      <c r="V39" s="160"/>
      <c r="W39" s="161"/>
      <c r="X39" s="46">
        <f t="shared" si="3"/>
        <v>0</v>
      </c>
      <c r="Y39" s="45"/>
      <c r="Z39" s="45"/>
      <c r="AA39" s="160"/>
      <c r="AB39" s="161"/>
      <c r="AC39" s="46">
        <f t="shared" si="4"/>
        <v>0</v>
      </c>
      <c r="AD39" s="45"/>
      <c r="AE39" s="45"/>
      <c r="AF39" s="160"/>
      <c r="AG39" s="161"/>
      <c r="AH39" s="46">
        <f t="shared" si="5"/>
        <v>0</v>
      </c>
      <c r="AI39" s="44"/>
      <c r="AJ39" s="45"/>
      <c r="AK39" s="160"/>
      <c r="AL39" s="161"/>
      <c r="AM39" s="225">
        <f t="shared" si="6"/>
        <v>0</v>
      </c>
    </row>
    <row r="40" spans="1:39" ht="15.75" thickBot="1">
      <c r="A40" s="14" t="s">
        <v>0</v>
      </c>
      <c r="B40" s="15" t="s">
        <v>17</v>
      </c>
      <c r="C40" s="337"/>
      <c r="D40" s="32" t="s">
        <v>17</v>
      </c>
      <c r="E40" s="32" t="s">
        <v>67</v>
      </c>
      <c r="F40" s="88">
        <v>13000</v>
      </c>
      <c r="G40" s="40">
        <v>10</v>
      </c>
      <c r="H40" s="40">
        <v>10</v>
      </c>
      <c r="I40" s="41">
        <f t="shared" si="0"/>
        <v>46200.000000000007</v>
      </c>
      <c r="J40" s="39">
        <v>7</v>
      </c>
      <c r="K40" s="40">
        <v>7</v>
      </c>
      <c r="L40" s="158">
        <v>2</v>
      </c>
      <c r="M40" s="159">
        <v>1</v>
      </c>
      <c r="N40" s="41">
        <f t="shared" si="1"/>
        <v>19.947200000000002</v>
      </c>
      <c r="O40" s="40">
        <v>7</v>
      </c>
      <c r="P40" s="40">
        <v>7</v>
      </c>
      <c r="Q40" s="158">
        <v>4</v>
      </c>
      <c r="R40" s="159">
        <v>1</v>
      </c>
      <c r="S40" s="41">
        <f t="shared" si="2"/>
        <v>21.694399999999998</v>
      </c>
      <c r="T40" s="39">
        <v>7</v>
      </c>
      <c r="U40" s="40">
        <v>7</v>
      </c>
      <c r="V40" s="158">
        <v>2</v>
      </c>
      <c r="W40" s="159">
        <v>1</v>
      </c>
      <c r="X40" s="41">
        <f t="shared" si="3"/>
        <v>9.9736000000000011</v>
      </c>
      <c r="Y40" s="40"/>
      <c r="Z40" s="40"/>
      <c r="AA40" s="158"/>
      <c r="AB40" s="159"/>
      <c r="AC40" s="41">
        <f t="shared" si="4"/>
        <v>0</v>
      </c>
      <c r="AD40" s="40"/>
      <c r="AE40" s="40"/>
      <c r="AF40" s="158"/>
      <c r="AG40" s="159"/>
      <c r="AH40" s="41">
        <f t="shared" si="5"/>
        <v>0</v>
      </c>
      <c r="AI40" s="39"/>
      <c r="AJ40" s="40"/>
      <c r="AK40" s="158"/>
      <c r="AL40" s="159"/>
      <c r="AM40" s="224">
        <f t="shared" si="6"/>
        <v>0</v>
      </c>
    </row>
    <row r="41" spans="1:39">
      <c r="A41" s="18" t="s">
        <v>46</v>
      </c>
      <c r="B41" s="19" t="s">
        <v>47</v>
      </c>
      <c r="C41" s="336" t="s">
        <v>46</v>
      </c>
      <c r="D41" s="34" t="s">
        <v>47</v>
      </c>
      <c r="E41" s="34" t="s">
        <v>67</v>
      </c>
      <c r="F41" s="89">
        <v>2000</v>
      </c>
      <c r="G41" s="36">
        <v>5</v>
      </c>
      <c r="H41" s="36">
        <v>5</v>
      </c>
      <c r="I41" s="37">
        <f t="shared" si="0"/>
        <v>15400.000000000002</v>
      </c>
      <c r="J41" s="35"/>
      <c r="K41" s="36"/>
      <c r="L41" s="154"/>
      <c r="M41" s="155"/>
      <c r="N41" s="37">
        <f t="shared" si="1"/>
        <v>0</v>
      </c>
      <c r="O41" s="36"/>
      <c r="P41" s="36"/>
      <c r="Q41" s="154"/>
      <c r="R41" s="155"/>
      <c r="S41" s="37">
        <f t="shared" si="2"/>
        <v>0</v>
      </c>
      <c r="T41" s="35"/>
      <c r="U41" s="36"/>
      <c r="V41" s="154"/>
      <c r="W41" s="155"/>
      <c r="X41" s="37">
        <f t="shared" si="3"/>
        <v>0</v>
      </c>
      <c r="Y41" s="36"/>
      <c r="Z41" s="36"/>
      <c r="AA41" s="154"/>
      <c r="AB41" s="155"/>
      <c r="AC41" s="37">
        <f t="shared" si="4"/>
        <v>0</v>
      </c>
      <c r="AD41" s="36"/>
      <c r="AE41" s="36"/>
      <c r="AF41" s="154"/>
      <c r="AG41" s="155"/>
      <c r="AH41" s="37">
        <f t="shared" si="5"/>
        <v>0</v>
      </c>
      <c r="AI41" s="35">
        <v>6</v>
      </c>
      <c r="AJ41" s="36">
        <v>6</v>
      </c>
      <c r="AK41" s="154"/>
      <c r="AL41" s="155"/>
      <c r="AM41" s="223">
        <f t="shared" si="6"/>
        <v>7.5</v>
      </c>
    </row>
    <row r="42" spans="1:39" ht="15.75" thickBot="1">
      <c r="A42" s="20" t="s">
        <v>46</v>
      </c>
      <c r="B42" s="21" t="s">
        <v>50</v>
      </c>
      <c r="C42" s="338"/>
      <c r="D42" s="48" t="s">
        <v>50</v>
      </c>
      <c r="E42" s="48" t="s">
        <v>67</v>
      </c>
      <c r="F42" s="90">
        <v>2000</v>
      </c>
      <c r="G42" s="50">
        <v>10</v>
      </c>
      <c r="H42" s="50">
        <v>1</v>
      </c>
      <c r="I42" s="51">
        <f t="shared" si="0"/>
        <v>24200.000000000004</v>
      </c>
      <c r="J42" s="49"/>
      <c r="K42" s="50"/>
      <c r="L42" s="170"/>
      <c r="M42" s="171"/>
      <c r="N42" s="51">
        <f t="shared" si="1"/>
        <v>0</v>
      </c>
      <c r="O42" s="50"/>
      <c r="P42" s="50"/>
      <c r="Q42" s="170"/>
      <c r="R42" s="171"/>
      <c r="S42" s="51">
        <f t="shared" si="2"/>
        <v>0</v>
      </c>
      <c r="T42" s="49"/>
      <c r="U42" s="50"/>
      <c r="V42" s="170"/>
      <c r="W42" s="171"/>
      <c r="X42" s="51">
        <f t="shared" si="3"/>
        <v>0</v>
      </c>
      <c r="Y42" s="50"/>
      <c r="Z42" s="50"/>
      <c r="AA42" s="170"/>
      <c r="AB42" s="171"/>
      <c r="AC42" s="51">
        <f t="shared" si="4"/>
        <v>0</v>
      </c>
      <c r="AD42" s="50"/>
      <c r="AE42" s="50"/>
      <c r="AF42" s="170"/>
      <c r="AG42" s="171"/>
      <c r="AH42" s="51">
        <f t="shared" si="5"/>
        <v>0</v>
      </c>
      <c r="AI42" s="49"/>
      <c r="AJ42" s="50"/>
      <c r="AK42" s="170"/>
      <c r="AL42" s="171"/>
      <c r="AM42" s="229">
        <f t="shared" si="6"/>
        <v>0</v>
      </c>
    </row>
    <row r="43" spans="1:39">
      <c r="A43" s="12" t="s">
        <v>38</v>
      </c>
      <c r="B43" s="13" t="s">
        <v>39</v>
      </c>
      <c r="C43" s="337" t="s">
        <v>38</v>
      </c>
      <c r="D43" s="43" t="s">
        <v>39</v>
      </c>
      <c r="E43" s="43" t="s">
        <v>67</v>
      </c>
      <c r="F43" s="87">
        <v>13000</v>
      </c>
      <c r="G43" s="45">
        <v>10</v>
      </c>
      <c r="H43" s="47">
        <v>2</v>
      </c>
      <c r="I43" s="46">
        <f t="shared" si="0"/>
        <v>37400</v>
      </c>
      <c r="J43" s="44">
        <v>9</v>
      </c>
      <c r="K43" s="45">
        <v>2</v>
      </c>
      <c r="L43" s="160"/>
      <c r="M43" s="161"/>
      <c r="N43" s="46">
        <f t="shared" si="1"/>
        <v>18.900000000000002</v>
      </c>
      <c r="O43" s="45">
        <v>9</v>
      </c>
      <c r="P43" s="45">
        <v>2</v>
      </c>
      <c r="Q43" s="160"/>
      <c r="R43" s="161"/>
      <c r="S43" s="46">
        <f t="shared" si="2"/>
        <v>18.900000000000002</v>
      </c>
      <c r="T43" s="44"/>
      <c r="U43" s="45"/>
      <c r="V43" s="160"/>
      <c r="W43" s="161"/>
      <c r="X43" s="46">
        <f t="shared" si="3"/>
        <v>0</v>
      </c>
      <c r="Y43" s="45">
        <v>10</v>
      </c>
      <c r="Z43" s="45">
        <v>2</v>
      </c>
      <c r="AA43" s="160"/>
      <c r="AB43" s="161"/>
      <c r="AC43" s="46">
        <f t="shared" si="4"/>
        <v>10.5</v>
      </c>
      <c r="AD43" s="45"/>
      <c r="AE43" s="45"/>
      <c r="AF43" s="160"/>
      <c r="AG43" s="161"/>
      <c r="AH43" s="46">
        <f t="shared" si="5"/>
        <v>0</v>
      </c>
      <c r="AI43" s="44"/>
      <c r="AJ43" s="45"/>
      <c r="AK43" s="160"/>
      <c r="AL43" s="161"/>
      <c r="AM43" s="225">
        <f t="shared" si="6"/>
        <v>0</v>
      </c>
    </row>
    <row r="44" spans="1:39">
      <c r="A44" s="14" t="s">
        <v>38</v>
      </c>
      <c r="B44" s="15" t="s">
        <v>71</v>
      </c>
      <c r="C44" s="337"/>
      <c r="D44" s="91" t="s">
        <v>71</v>
      </c>
      <c r="E44" s="91" t="s">
        <v>68</v>
      </c>
      <c r="F44" s="92">
        <v>7000</v>
      </c>
      <c r="G44" s="78">
        <v>9</v>
      </c>
      <c r="H44" s="76">
        <v>3</v>
      </c>
      <c r="I44" s="77">
        <f t="shared" si="0"/>
        <v>29480.000000000004</v>
      </c>
      <c r="J44" s="74">
        <v>10</v>
      </c>
      <c r="K44" s="78">
        <v>2</v>
      </c>
      <c r="L44" s="178"/>
      <c r="M44" s="179"/>
      <c r="N44" s="77">
        <f t="shared" si="1"/>
        <v>21</v>
      </c>
      <c r="O44" s="78">
        <v>5</v>
      </c>
      <c r="P44" s="78">
        <v>3</v>
      </c>
      <c r="Q44" s="178"/>
      <c r="R44" s="179"/>
      <c r="S44" s="77">
        <f t="shared" si="2"/>
        <v>11</v>
      </c>
      <c r="T44" s="74">
        <v>5</v>
      </c>
      <c r="U44" s="78">
        <v>3</v>
      </c>
      <c r="V44" s="178"/>
      <c r="W44" s="179"/>
      <c r="X44" s="77">
        <f t="shared" si="3"/>
        <v>5.5</v>
      </c>
      <c r="Y44" s="78"/>
      <c r="Z44" s="78"/>
      <c r="AA44" s="178"/>
      <c r="AB44" s="179"/>
      <c r="AC44" s="77">
        <f t="shared" si="4"/>
        <v>0</v>
      </c>
      <c r="AD44" s="78"/>
      <c r="AE44" s="78"/>
      <c r="AF44" s="178"/>
      <c r="AG44" s="179"/>
      <c r="AH44" s="77">
        <f t="shared" si="5"/>
        <v>0</v>
      </c>
      <c r="AI44" s="74"/>
      <c r="AJ44" s="78"/>
      <c r="AK44" s="178"/>
      <c r="AL44" s="179"/>
      <c r="AM44" s="231">
        <f t="shared" si="6"/>
        <v>0</v>
      </c>
    </row>
    <row r="45" spans="1:39">
      <c r="A45" s="14" t="s">
        <v>38</v>
      </c>
      <c r="B45" s="15" t="s">
        <v>51</v>
      </c>
      <c r="C45" s="337"/>
      <c r="D45" s="32" t="s">
        <v>51</v>
      </c>
      <c r="E45" s="32" t="s">
        <v>67</v>
      </c>
      <c r="F45" s="92">
        <v>4000</v>
      </c>
      <c r="G45" s="78">
        <v>7</v>
      </c>
      <c r="H45" s="76">
        <v>1</v>
      </c>
      <c r="I45" s="77">
        <f t="shared" si="0"/>
        <v>19800</v>
      </c>
      <c r="J45" s="74">
        <v>9</v>
      </c>
      <c r="K45" s="76">
        <v>3</v>
      </c>
      <c r="L45" s="186"/>
      <c r="M45" s="187"/>
      <c r="N45" s="77">
        <f t="shared" si="1"/>
        <v>19.8</v>
      </c>
      <c r="O45" s="78">
        <v>5</v>
      </c>
      <c r="P45" s="76">
        <v>3</v>
      </c>
      <c r="Q45" s="186"/>
      <c r="R45" s="187"/>
      <c r="S45" s="77">
        <f t="shared" si="2"/>
        <v>11</v>
      </c>
      <c r="T45" s="74"/>
      <c r="U45" s="78"/>
      <c r="V45" s="178"/>
      <c r="W45" s="179"/>
      <c r="X45" s="77">
        <f t="shared" si="3"/>
        <v>0</v>
      </c>
      <c r="Y45" s="78">
        <v>4</v>
      </c>
      <c r="Z45" s="78">
        <v>4</v>
      </c>
      <c r="AA45" s="178"/>
      <c r="AB45" s="179"/>
      <c r="AC45" s="77">
        <f t="shared" si="4"/>
        <v>4.5999999999999996</v>
      </c>
      <c r="AD45" s="78"/>
      <c r="AE45" s="78"/>
      <c r="AF45" s="178"/>
      <c r="AG45" s="179"/>
      <c r="AH45" s="77">
        <f t="shared" si="5"/>
        <v>0</v>
      </c>
      <c r="AI45" s="74"/>
      <c r="AJ45" s="78"/>
      <c r="AK45" s="178"/>
      <c r="AL45" s="179"/>
      <c r="AM45" s="231">
        <f t="shared" si="6"/>
        <v>0</v>
      </c>
    </row>
    <row r="46" spans="1:39" ht="15.75" thickBot="1">
      <c r="A46" s="16" t="s">
        <v>38</v>
      </c>
      <c r="B46" s="17" t="s">
        <v>40</v>
      </c>
      <c r="C46" s="337"/>
      <c r="D46" s="32" t="s">
        <v>40</v>
      </c>
      <c r="E46" s="32" t="s">
        <v>67</v>
      </c>
      <c r="F46" s="88">
        <v>4000</v>
      </c>
      <c r="G46" s="40">
        <v>8</v>
      </c>
      <c r="H46" s="40">
        <v>2</v>
      </c>
      <c r="I46" s="41">
        <f t="shared" si="0"/>
        <v>22880.000000000004</v>
      </c>
      <c r="J46" s="39"/>
      <c r="K46" s="40"/>
      <c r="L46" s="158"/>
      <c r="M46" s="159"/>
      <c r="N46" s="41">
        <f t="shared" si="1"/>
        <v>0</v>
      </c>
      <c r="O46" s="40">
        <v>5</v>
      </c>
      <c r="P46" s="40">
        <v>4</v>
      </c>
      <c r="Q46" s="158"/>
      <c r="R46" s="159"/>
      <c r="S46" s="41">
        <f t="shared" si="2"/>
        <v>11.5</v>
      </c>
      <c r="T46" s="39"/>
      <c r="U46" s="40"/>
      <c r="V46" s="158"/>
      <c r="W46" s="159"/>
      <c r="X46" s="41">
        <f t="shared" si="3"/>
        <v>0</v>
      </c>
      <c r="Y46" s="40">
        <v>8</v>
      </c>
      <c r="Z46" s="42">
        <v>5</v>
      </c>
      <c r="AA46" s="182"/>
      <c r="AB46" s="183"/>
      <c r="AC46" s="41">
        <f t="shared" si="4"/>
        <v>9.6</v>
      </c>
      <c r="AD46" s="40"/>
      <c r="AE46" s="40"/>
      <c r="AF46" s="158"/>
      <c r="AG46" s="159"/>
      <c r="AH46" s="41">
        <f t="shared" si="5"/>
        <v>0</v>
      </c>
      <c r="AI46" s="39">
        <v>5</v>
      </c>
      <c r="AJ46" s="40">
        <v>3</v>
      </c>
      <c r="AK46" s="158"/>
      <c r="AL46" s="159"/>
      <c r="AM46" s="224">
        <f t="shared" si="6"/>
        <v>5.5</v>
      </c>
    </row>
    <row r="47" spans="1:39">
      <c r="A47" s="12" t="s">
        <v>20</v>
      </c>
      <c r="B47" s="15" t="s">
        <v>21</v>
      </c>
      <c r="C47" s="336" t="s">
        <v>20</v>
      </c>
      <c r="D47" s="34" t="s">
        <v>21</v>
      </c>
      <c r="E47" s="34" t="s">
        <v>69</v>
      </c>
      <c r="F47" s="89">
        <v>4000</v>
      </c>
      <c r="G47" s="36"/>
      <c r="H47" s="36"/>
      <c r="I47" s="37">
        <f t="shared" si="0"/>
        <v>4400</v>
      </c>
      <c r="J47" s="35">
        <v>4</v>
      </c>
      <c r="K47" s="36">
        <v>4</v>
      </c>
      <c r="L47" s="154"/>
      <c r="M47" s="155"/>
      <c r="N47" s="37">
        <f t="shared" si="1"/>
        <v>9.1999999999999993</v>
      </c>
      <c r="O47" s="36"/>
      <c r="P47" s="36"/>
      <c r="Q47" s="154"/>
      <c r="R47" s="155"/>
      <c r="S47" s="37">
        <f t="shared" si="2"/>
        <v>0</v>
      </c>
      <c r="T47" s="35"/>
      <c r="U47" s="36"/>
      <c r="V47" s="154"/>
      <c r="W47" s="155"/>
      <c r="X47" s="37">
        <f t="shared" si="3"/>
        <v>0</v>
      </c>
      <c r="Y47" s="36">
        <v>5</v>
      </c>
      <c r="Z47" s="36">
        <v>5</v>
      </c>
      <c r="AA47" s="154"/>
      <c r="AB47" s="155"/>
      <c r="AC47" s="37">
        <f t="shared" si="4"/>
        <v>6</v>
      </c>
      <c r="AD47" s="36">
        <v>5</v>
      </c>
      <c r="AE47" s="36">
        <v>5</v>
      </c>
      <c r="AF47" s="154"/>
      <c r="AG47" s="155"/>
      <c r="AH47" s="37">
        <f t="shared" si="5"/>
        <v>6</v>
      </c>
      <c r="AI47" s="35">
        <v>5</v>
      </c>
      <c r="AJ47" s="36">
        <v>5</v>
      </c>
      <c r="AK47" s="154"/>
      <c r="AL47" s="155"/>
      <c r="AM47" s="223">
        <f t="shared" si="6"/>
        <v>6</v>
      </c>
    </row>
    <row r="48" spans="1:39" ht="15.75" thickBot="1">
      <c r="A48" s="16" t="s">
        <v>20</v>
      </c>
      <c r="B48" s="15" t="s">
        <v>22</v>
      </c>
      <c r="C48" s="338"/>
      <c r="D48" s="48" t="s">
        <v>22</v>
      </c>
      <c r="E48" s="48" t="s">
        <v>69</v>
      </c>
      <c r="F48" s="90">
        <v>7000</v>
      </c>
      <c r="G48" s="50">
        <v>10</v>
      </c>
      <c r="H48" s="53">
        <v>1</v>
      </c>
      <c r="I48" s="51">
        <f t="shared" si="0"/>
        <v>29700.000000000004</v>
      </c>
      <c r="J48" s="49">
        <v>7</v>
      </c>
      <c r="K48" s="50">
        <v>7</v>
      </c>
      <c r="L48" s="170"/>
      <c r="M48" s="171"/>
      <c r="N48" s="51">
        <f t="shared" si="1"/>
        <v>18.2</v>
      </c>
      <c r="O48" s="50">
        <v>8</v>
      </c>
      <c r="P48" s="50">
        <v>8</v>
      </c>
      <c r="Q48" s="170"/>
      <c r="R48" s="171"/>
      <c r="S48" s="51">
        <f t="shared" si="2"/>
        <v>21.6</v>
      </c>
      <c r="T48" s="49"/>
      <c r="U48" s="50"/>
      <c r="V48" s="170"/>
      <c r="W48" s="171"/>
      <c r="X48" s="51">
        <f t="shared" si="3"/>
        <v>0</v>
      </c>
      <c r="Y48" s="50"/>
      <c r="Z48" s="50"/>
      <c r="AA48" s="170"/>
      <c r="AB48" s="171"/>
      <c r="AC48" s="51">
        <f t="shared" si="4"/>
        <v>0</v>
      </c>
      <c r="AD48" s="50"/>
      <c r="AE48" s="50"/>
      <c r="AF48" s="170"/>
      <c r="AG48" s="171"/>
      <c r="AH48" s="51">
        <f t="shared" si="5"/>
        <v>0</v>
      </c>
      <c r="AI48" s="49">
        <v>7</v>
      </c>
      <c r="AJ48" s="50">
        <v>7</v>
      </c>
      <c r="AK48" s="170"/>
      <c r="AL48" s="171"/>
      <c r="AM48" s="229">
        <f t="shared" si="6"/>
        <v>9.1</v>
      </c>
    </row>
    <row r="49" spans="1:39">
      <c r="A49" s="12" t="s">
        <v>2</v>
      </c>
      <c r="B49" s="13" t="s">
        <v>15</v>
      </c>
      <c r="C49" s="337" t="s">
        <v>2</v>
      </c>
      <c r="D49" s="43" t="s">
        <v>15</v>
      </c>
      <c r="E49" s="43" t="s">
        <v>68</v>
      </c>
      <c r="F49" s="87">
        <v>7000</v>
      </c>
      <c r="G49" s="45">
        <v>9</v>
      </c>
      <c r="H49" s="45">
        <v>9</v>
      </c>
      <c r="I49" s="46">
        <f t="shared" si="0"/>
        <v>35420</v>
      </c>
      <c r="J49" s="44">
        <v>10</v>
      </c>
      <c r="K49" s="45">
        <v>1</v>
      </c>
      <c r="L49" s="160"/>
      <c r="M49" s="161"/>
      <c r="N49" s="46">
        <f t="shared" si="1"/>
        <v>20</v>
      </c>
      <c r="O49" s="45"/>
      <c r="P49" s="45"/>
      <c r="Q49" s="160"/>
      <c r="R49" s="161"/>
      <c r="S49" s="46">
        <f t="shared" si="2"/>
        <v>0</v>
      </c>
      <c r="T49" s="44">
        <v>3</v>
      </c>
      <c r="U49" s="45">
        <v>3</v>
      </c>
      <c r="V49" s="160"/>
      <c r="W49" s="161"/>
      <c r="X49" s="46">
        <f t="shared" si="3"/>
        <v>3.3000000000000003</v>
      </c>
      <c r="Y49" s="45"/>
      <c r="Z49" s="45"/>
      <c r="AA49" s="160"/>
      <c r="AB49" s="161"/>
      <c r="AC49" s="46">
        <f t="shared" si="4"/>
        <v>0</v>
      </c>
      <c r="AD49" s="45">
        <v>7</v>
      </c>
      <c r="AE49" s="45">
        <v>7</v>
      </c>
      <c r="AF49" s="160"/>
      <c r="AG49" s="161"/>
      <c r="AH49" s="46">
        <f t="shared" si="5"/>
        <v>9.1</v>
      </c>
      <c r="AI49" s="44"/>
      <c r="AJ49" s="45"/>
      <c r="AK49" s="160"/>
      <c r="AL49" s="161"/>
      <c r="AM49" s="225">
        <f t="shared" si="6"/>
        <v>0</v>
      </c>
    </row>
    <row r="50" spans="1:39">
      <c r="A50" s="14" t="s">
        <v>2</v>
      </c>
      <c r="B50" s="15" t="s">
        <v>64</v>
      </c>
      <c r="C50" s="337"/>
      <c r="D50" s="334" t="s">
        <v>64</v>
      </c>
      <c r="E50" s="334" t="s">
        <v>68</v>
      </c>
      <c r="F50" s="93">
        <v>4000</v>
      </c>
      <c r="G50" s="94">
        <v>8</v>
      </c>
      <c r="H50" s="40">
        <v>8</v>
      </c>
      <c r="I50" s="41">
        <f t="shared" si="0"/>
        <v>28160.000000000004</v>
      </c>
      <c r="J50" s="39"/>
      <c r="K50" s="40"/>
      <c r="L50" s="158"/>
      <c r="M50" s="159"/>
      <c r="N50" s="41">
        <f t="shared" si="1"/>
        <v>0</v>
      </c>
      <c r="O50" s="40">
        <v>8</v>
      </c>
      <c r="P50" s="40">
        <v>8</v>
      </c>
      <c r="Q50" s="158"/>
      <c r="R50" s="159"/>
      <c r="S50" s="41">
        <f t="shared" si="2"/>
        <v>21.6</v>
      </c>
      <c r="T50" s="39"/>
      <c r="U50" s="40"/>
      <c r="V50" s="158"/>
      <c r="W50" s="159"/>
      <c r="X50" s="41">
        <f t="shared" si="3"/>
        <v>0</v>
      </c>
      <c r="Y50" s="40">
        <v>8</v>
      </c>
      <c r="Z50" s="40">
        <v>8</v>
      </c>
      <c r="AA50" s="158"/>
      <c r="AB50" s="159"/>
      <c r="AC50" s="41">
        <f t="shared" si="4"/>
        <v>10.8</v>
      </c>
      <c r="AD50" s="40"/>
      <c r="AE50" s="40"/>
      <c r="AF50" s="158"/>
      <c r="AG50" s="159"/>
      <c r="AH50" s="41">
        <f t="shared" si="5"/>
        <v>0</v>
      </c>
      <c r="AI50" s="39"/>
      <c r="AJ50" s="40"/>
      <c r="AK50" s="158"/>
      <c r="AL50" s="159"/>
      <c r="AM50" s="224">
        <f t="shared" si="6"/>
        <v>0</v>
      </c>
    </row>
    <row r="51" spans="1:39">
      <c r="A51" s="14" t="s">
        <v>2</v>
      </c>
      <c r="B51" s="15" t="s">
        <v>64</v>
      </c>
      <c r="C51" s="337"/>
      <c r="D51" s="335"/>
      <c r="E51" s="335"/>
      <c r="F51" s="93"/>
      <c r="G51" s="94"/>
      <c r="H51" s="45"/>
      <c r="I51" s="46">
        <f t="shared" si="0"/>
        <v>0</v>
      </c>
      <c r="J51" s="44"/>
      <c r="K51" s="45"/>
      <c r="L51" s="160"/>
      <c r="M51" s="161"/>
      <c r="N51" s="46">
        <f t="shared" si="1"/>
        <v>0</v>
      </c>
      <c r="O51" s="45"/>
      <c r="P51" s="45"/>
      <c r="Q51" s="160"/>
      <c r="R51" s="161"/>
      <c r="S51" s="46">
        <f t="shared" si="2"/>
        <v>0</v>
      </c>
      <c r="T51" s="44"/>
      <c r="U51" s="45"/>
      <c r="V51" s="160"/>
      <c r="W51" s="161"/>
      <c r="X51" s="46">
        <f t="shared" si="3"/>
        <v>0</v>
      </c>
      <c r="Y51" s="45">
        <v>7</v>
      </c>
      <c r="Z51" s="45">
        <v>7</v>
      </c>
      <c r="AA51" s="160"/>
      <c r="AB51" s="161"/>
      <c r="AC51" s="46">
        <f t="shared" si="4"/>
        <v>9.1</v>
      </c>
      <c r="AD51" s="45"/>
      <c r="AE51" s="45"/>
      <c r="AF51" s="160"/>
      <c r="AG51" s="161"/>
      <c r="AH51" s="46">
        <f t="shared" si="5"/>
        <v>0</v>
      </c>
      <c r="AI51" s="44"/>
      <c r="AJ51" s="45"/>
      <c r="AK51" s="160"/>
      <c r="AL51" s="161"/>
      <c r="AM51" s="225">
        <f t="shared" si="6"/>
        <v>0</v>
      </c>
    </row>
    <row r="52" spans="1:39" ht="15.75" thickBot="1">
      <c r="A52" s="16" t="s">
        <v>2</v>
      </c>
      <c r="B52" s="17" t="s">
        <v>16</v>
      </c>
      <c r="C52" s="337"/>
      <c r="D52" s="32" t="s">
        <v>16</v>
      </c>
      <c r="E52" s="32" t="s">
        <v>68</v>
      </c>
      <c r="F52" s="88">
        <v>7000</v>
      </c>
      <c r="G52" s="40">
        <v>6</v>
      </c>
      <c r="H52" s="40">
        <v>6</v>
      </c>
      <c r="I52" s="41">
        <f t="shared" si="0"/>
        <v>24200.000000000004</v>
      </c>
      <c r="J52" s="39">
        <v>3</v>
      </c>
      <c r="K52" s="40">
        <v>3</v>
      </c>
      <c r="L52" s="158"/>
      <c r="M52" s="159"/>
      <c r="N52" s="41">
        <f t="shared" si="1"/>
        <v>6.6000000000000005</v>
      </c>
      <c r="O52" s="40">
        <v>8</v>
      </c>
      <c r="P52" s="40">
        <v>8</v>
      </c>
      <c r="Q52" s="158"/>
      <c r="R52" s="159"/>
      <c r="S52" s="41">
        <f t="shared" si="2"/>
        <v>21.6</v>
      </c>
      <c r="T52" s="39">
        <v>9</v>
      </c>
      <c r="U52" s="40">
        <v>9</v>
      </c>
      <c r="V52" s="158"/>
      <c r="W52" s="159"/>
      <c r="X52" s="41">
        <f t="shared" si="3"/>
        <v>12.6</v>
      </c>
      <c r="Y52" s="40"/>
      <c r="Z52" s="40"/>
      <c r="AA52" s="158"/>
      <c r="AB52" s="159"/>
      <c r="AC52" s="41">
        <f t="shared" si="4"/>
        <v>0</v>
      </c>
      <c r="AD52" s="40"/>
      <c r="AE52" s="40"/>
      <c r="AF52" s="158"/>
      <c r="AG52" s="159"/>
      <c r="AH52" s="41">
        <f t="shared" si="5"/>
        <v>0</v>
      </c>
      <c r="AI52" s="39"/>
      <c r="AJ52" s="40"/>
      <c r="AK52" s="158"/>
      <c r="AL52" s="159"/>
      <c r="AM52" s="224">
        <f t="shared" si="6"/>
        <v>0</v>
      </c>
    </row>
    <row r="53" spans="1:39">
      <c r="A53" s="12" t="s">
        <v>1</v>
      </c>
      <c r="B53" s="13" t="s">
        <v>12</v>
      </c>
      <c r="C53" s="336" t="s">
        <v>1</v>
      </c>
      <c r="D53" s="34" t="s">
        <v>12</v>
      </c>
      <c r="E53" s="34" t="s">
        <v>69</v>
      </c>
      <c r="F53" s="89">
        <v>13000</v>
      </c>
      <c r="G53" s="36">
        <v>10</v>
      </c>
      <c r="H53" s="36">
        <v>5</v>
      </c>
      <c r="I53" s="37">
        <f t="shared" si="0"/>
        <v>40700</v>
      </c>
      <c r="J53" s="35">
        <v>8</v>
      </c>
      <c r="K53" s="36">
        <v>4</v>
      </c>
      <c r="L53" s="154">
        <v>1</v>
      </c>
      <c r="M53" s="155">
        <v>1</v>
      </c>
      <c r="N53" s="37">
        <f t="shared" si="1"/>
        <v>19.283200000000001</v>
      </c>
      <c r="O53" s="36">
        <v>9</v>
      </c>
      <c r="P53" s="36">
        <v>4</v>
      </c>
      <c r="Q53" s="154">
        <v>3</v>
      </c>
      <c r="R53" s="155">
        <v>1</v>
      </c>
      <c r="S53" s="37">
        <f t="shared" si="2"/>
        <v>23.680799999999998</v>
      </c>
      <c r="T53" s="35"/>
      <c r="U53" s="36"/>
      <c r="V53" s="154"/>
      <c r="W53" s="155"/>
      <c r="X53" s="37">
        <f t="shared" si="3"/>
        <v>0</v>
      </c>
      <c r="Y53" s="36"/>
      <c r="Z53" s="36"/>
      <c r="AA53" s="154"/>
      <c r="AB53" s="155"/>
      <c r="AC53" s="37">
        <f t="shared" si="4"/>
        <v>0</v>
      </c>
      <c r="AD53" s="36"/>
      <c r="AE53" s="36"/>
      <c r="AF53" s="154"/>
      <c r="AG53" s="155"/>
      <c r="AH53" s="37">
        <f t="shared" si="5"/>
        <v>0</v>
      </c>
      <c r="AI53" s="35">
        <v>7</v>
      </c>
      <c r="AJ53" s="36">
        <v>7</v>
      </c>
      <c r="AK53" s="154">
        <v>5</v>
      </c>
      <c r="AL53" s="155">
        <v>1</v>
      </c>
      <c r="AM53" s="223">
        <f t="shared" si="6"/>
        <v>11.283999999999999</v>
      </c>
    </row>
    <row r="54" spans="1:39">
      <c r="A54" s="14" t="s">
        <v>1</v>
      </c>
      <c r="B54" s="15" t="s">
        <v>65</v>
      </c>
      <c r="C54" s="337"/>
      <c r="D54" s="334" t="s">
        <v>65</v>
      </c>
      <c r="E54" s="334" t="s">
        <v>69</v>
      </c>
      <c r="F54" s="93">
        <v>4000</v>
      </c>
      <c r="G54" s="94">
        <v>10</v>
      </c>
      <c r="H54" s="94">
        <v>10</v>
      </c>
      <c r="I54" s="96">
        <f t="shared" si="0"/>
        <v>36300</v>
      </c>
      <c r="J54" s="95">
        <v>6</v>
      </c>
      <c r="K54" s="94">
        <v>6</v>
      </c>
      <c r="L54" s="156"/>
      <c r="M54" s="157"/>
      <c r="N54" s="96">
        <f t="shared" si="1"/>
        <v>15</v>
      </c>
      <c r="O54" s="94"/>
      <c r="P54" s="94"/>
      <c r="Q54" s="156"/>
      <c r="R54" s="157"/>
      <c r="S54" s="96">
        <f t="shared" si="2"/>
        <v>0</v>
      </c>
      <c r="T54" s="95"/>
      <c r="U54" s="94"/>
      <c r="V54" s="156"/>
      <c r="W54" s="157"/>
      <c r="X54" s="96">
        <f t="shared" si="3"/>
        <v>0</v>
      </c>
      <c r="Y54" s="94"/>
      <c r="Z54" s="94"/>
      <c r="AA54" s="156"/>
      <c r="AB54" s="157"/>
      <c r="AC54" s="96">
        <f t="shared" si="4"/>
        <v>0</v>
      </c>
      <c r="AD54" s="94">
        <v>8</v>
      </c>
      <c r="AE54" s="94">
        <v>8</v>
      </c>
      <c r="AF54" s="156"/>
      <c r="AG54" s="157"/>
      <c r="AH54" s="96">
        <f t="shared" si="5"/>
        <v>10.8</v>
      </c>
      <c r="AI54" s="95"/>
      <c r="AJ54" s="94"/>
      <c r="AK54" s="156"/>
      <c r="AL54" s="157"/>
      <c r="AM54" s="228">
        <f t="shared" si="6"/>
        <v>0</v>
      </c>
    </row>
    <row r="55" spans="1:39">
      <c r="A55" s="14" t="s">
        <v>1</v>
      </c>
      <c r="B55" s="15" t="s">
        <v>65</v>
      </c>
      <c r="C55" s="337"/>
      <c r="D55" s="387"/>
      <c r="E55" s="387"/>
      <c r="F55" s="93"/>
      <c r="G55" s="94">
        <v>9</v>
      </c>
      <c r="H55" s="94">
        <v>9</v>
      </c>
      <c r="I55" s="96">
        <f t="shared" si="0"/>
        <v>27720.000000000004</v>
      </c>
      <c r="J55" s="95"/>
      <c r="K55" s="94"/>
      <c r="L55" s="156"/>
      <c r="M55" s="157"/>
      <c r="N55" s="96">
        <f t="shared" si="1"/>
        <v>0</v>
      </c>
      <c r="O55" s="94"/>
      <c r="P55" s="94"/>
      <c r="Q55" s="156"/>
      <c r="R55" s="157"/>
      <c r="S55" s="96">
        <f t="shared" si="2"/>
        <v>0</v>
      </c>
      <c r="T55" s="95"/>
      <c r="U55" s="94"/>
      <c r="V55" s="156"/>
      <c r="W55" s="157"/>
      <c r="X55" s="96">
        <f t="shared" si="3"/>
        <v>0</v>
      </c>
      <c r="Y55" s="94"/>
      <c r="Z55" s="94"/>
      <c r="AA55" s="156"/>
      <c r="AB55" s="157"/>
      <c r="AC55" s="96">
        <f t="shared" si="4"/>
        <v>0</v>
      </c>
      <c r="AD55" s="94"/>
      <c r="AE55" s="94"/>
      <c r="AF55" s="156"/>
      <c r="AG55" s="157"/>
      <c r="AH55" s="96">
        <f t="shared" si="5"/>
        <v>0</v>
      </c>
      <c r="AI55" s="95"/>
      <c r="AJ55" s="94"/>
      <c r="AK55" s="156"/>
      <c r="AL55" s="157"/>
      <c r="AM55" s="228">
        <f t="shared" si="6"/>
        <v>0</v>
      </c>
    </row>
    <row r="56" spans="1:39">
      <c r="A56" s="14" t="s">
        <v>1</v>
      </c>
      <c r="B56" s="15" t="s">
        <v>145</v>
      </c>
      <c r="C56" s="337"/>
      <c r="D56" s="334" t="s">
        <v>145</v>
      </c>
      <c r="E56" s="334" t="s">
        <v>69</v>
      </c>
      <c r="F56" s="88">
        <v>4000</v>
      </c>
      <c r="G56" s="40">
        <v>7</v>
      </c>
      <c r="H56" s="40">
        <v>7</v>
      </c>
      <c r="I56" s="41">
        <f t="shared" ref="I56:I57" si="21">((2000*G56)*(1+0.05*(H56-1))+F56)*(1+0.05*$B$2)</f>
        <v>24420.000000000004</v>
      </c>
      <c r="J56" s="39"/>
      <c r="K56" s="40"/>
      <c r="L56" s="158"/>
      <c r="M56" s="159"/>
      <c r="N56" s="41">
        <f t="shared" ref="N56:N57" si="22">(2*J56)*(1+0.05*(K56-1))*(1+0.04*L56*(1+0.2*M56))</f>
        <v>0</v>
      </c>
      <c r="O56" s="40">
        <v>6</v>
      </c>
      <c r="P56" s="40">
        <v>6</v>
      </c>
      <c r="Q56" s="158"/>
      <c r="R56" s="159"/>
      <c r="S56" s="41">
        <f t="shared" ref="S56:S57" si="23">(2*O56)*(1+0.05*(P56-1))*(1+0.04*Q56*(1+0.2*R56))</f>
        <v>15</v>
      </c>
      <c r="T56" s="39"/>
      <c r="U56" s="40"/>
      <c r="V56" s="158"/>
      <c r="W56" s="159"/>
      <c r="X56" s="41">
        <f t="shared" ref="X56:X57" si="24">(1*T56)*(1+0.05*(U56-1))*(1+0.04*V56*(1+0.2*W56))</f>
        <v>0</v>
      </c>
      <c r="Y56" s="40"/>
      <c r="Z56" s="40"/>
      <c r="AA56" s="158"/>
      <c r="AB56" s="159"/>
      <c r="AC56" s="41">
        <f t="shared" ref="AC56:AC57" si="25">(1*Y56)*(1+0.05*(Z56-1))*(1+0.04*AA56*(1+0.2*AB56))</f>
        <v>0</v>
      </c>
      <c r="AD56" s="40"/>
      <c r="AE56" s="40"/>
      <c r="AF56" s="158"/>
      <c r="AG56" s="159"/>
      <c r="AH56" s="41">
        <f t="shared" ref="AH56:AH57" si="26">(1*AD56)*(1+0.05*(AE56-1))*(1+0.04*AF56*(1+0.2*AG56))</f>
        <v>0</v>
      </c>
      <c r="AI56" s="39">
        <v>6</v>
      </c>
      <c r="AJ56" s="40">
        <v>6</v>
      </c>
      <c r="AK56" s="158"/>
      <c r="AL56" s="159"/>
      <c r="AM56" s="224">
        <f t="shared" ref="AM56:AM57" si="27">(1*AI56)*(1+0.05*(AJ56-1))*(1+0.04*AK56*(1+0.2*AL56))</f>
        <v>7.5</v>
      </c>
    </row>
    <row r="57" spans="1:39">
      <c r="A57" s="14" t="s">
        <v>1</v>
      </c>
      <c r="B57" s="15" t="s">
        <v>145</v>
      </c>
      <c r="C57" s="337"/>
      <c r="D57" s="335"/>
      <c r="E57" s="335"/>
      <c r="F57" s="87"/>
      <c r="G57" s="45"/>
      <c r="H57" s="45"/>
      <c r="I57" s="46">
        <f t="shared" si="21"/>
        <v>0</v>
      </c>
      <c r="J57" s="44"/>
      <c r="K57" s="45"/>
      <c r="L57" s="160"/>
      <c r="M57" s="161"/>
      <c r="N57" s="46">
        <f t="shared" si="22"/>
        <v>0</v>
      </c>
      <c r="O57" s="45"/>
      <c r="P57" s="45"/>
      <c r="Q57" s="160"/>
      <c r="R57" s="161"/>
      <c r="S57" s="46">
        <f t="shared" si="23"/>
        <v>0</v>
      </c>
      <c r="T57" s="44"/>
      <c r="U57" s="45"/>
      <c r="V57" s="160"/>
      <c r="W57" s="161"/>
      <c r="X57" s="46">
        <f t="shared" si="24"/>
        <v>0</v>
      </c>
      <c r="Y57" s="45"/>
      <c r="Z57" s="45"/>
      <c r="AA57" s="160"/>
      <c r="AB57" s="161"/>
      <c r="AC57" s="46">
        <f t="shared" si="25"/>
        <v>0</v>
      </c>
      <c r="AD57" s="45"/>
      <c r="AE57" s="45"/>
      <c r="AF57" s="160"/>
      <c r="AG57" s="161"/>
      <c r="AH57" s="46">
        <f t="shared" si="26"/>
        <v>0</v>
      </c>
      <c r="AI57" s="44">
        <v>5</v>
      </c>
      <c r="AJ57" s="45">
        <v>5</v>
      </c>
      <c r="AK57" s="160"/>
      <c r="AL57" s="161"/>
      <c r="AM57" s="225">
        <f t="shared" si="27"/>
        <v>6</v>
      </c>
    </row>
    <row r="58" spans="1:39">
      <c r="A58" s="14" t="s">
        <v>1</v>
      </c>
      <c r="B58" s="15" t="s">
        <v>43</v>
      </c>
      <c r="C58" s="337"/>
      <c r="D58" s="334" t="s">
        <v>43</v>
      </c>
      <c r="E58" s="334" t="s">
        <v>69</v>
      </c>
      <c r="F58" s="88">
        <v>7000</v>
      </c>
      <c r="G58" s="40">
        <v>9</v>
      </c>
      <c r="H58" s="40">
        <v>9</v>
      </c>
      <c r="I58" s="41">
        <f t="shared" si="0"/>
        <v>35420</v>
      </c>
      <c r="J58" s="39">
        <v>6</v>
      </c>
      <c r="K58" s="40">
        <v>6</v>
      </c>
      <c r="L58" s="158">
        <v>1</v>
      </c>
      <c r="M58" s="159">
        <v>1</v>
      </c>
      <c r="N58" s="41">
        <f t="shared" si="1"/>
        <v>15.72</v>
      </c>
      <c r="O58" s="40">
        <v>7</v>
      </c>
      <c r="P58" s="40">
        <v>7</v>
      </c>
      <c r="Q58" s="158">
        <v>4</v>
      </c>
      <c r="R58" s="159">
        <v>1</v>
      </c>
      <c r="S58" s="41">
        <f t="shared" si="2"/>
        <v>21.694399999999998</v>
      </c>
      <c r="T58" s="39"/>
      <c r="U58" s="40"/>
      <c r="V58" s="158"/>
      <c r="W58" s="159"/>
      <c r="X58" s="41">
        <f t="shared" si="3"/>
        <v>0</v>
      </c>
      <c r="Y58" s="40"/>
      <c r="Z58" s="40"/>
      <c r="AA58" s="158"/>
      <c r="AB58" s="159"/>
      <c r="AC58" s="41">
        <f t="shared" si="4"/>
        <v>0</v>
      </c>
      <c r="AD58" s="40"/>
      <c r="AE58" s="40"/>
      <c r="AF58" s="158"/>
      <c r="AG58" s="159"/>
      <c r="AH58" s="41">
        <f t="shared" si="5"/>
        <v>0</v>
      </c>
      <c r="AI58" s="39"/>
      <c r="AJ58" s="40"/>
      <c r="AK58" s="158"/>
      <c r="AL58" s="159"/>
      <c r="AM58" s="224">
        <f t="shared" si="6"/>
        <v>0</v>
      </c>
    </row>
    <row r="59" spans="1:39">
      <c r="A59" s="14" t="s">
        <v>1</v>
      </c>
      <c r="B59" s="15" t="s">
        <v>43</v>
      </c>
      <c r="C59" s="337"/>
      <c r="D59" s="335"/>
      <c r="E59" s="335"/>
      <c r="F59" s="87"/>
      <c r="G59" s="45">
        <v>9</v>
      </c>
      <c r="H59" s="45">
        <v>9</v>
      </c>
      <c r="I59" s="46">
        <f t="shared" si="0"/>
        <v>27720.000000000004</v>
      </c>
      <c r="J59" s="44"/>
      <c r="K59" s="45"/>
      <c r="L59" s="160"/>
      <c r="M59" s="161"/>
      <c r="N59" s="46">
        <f t="shared" si="1"/>
        <v>0</v>
      </c>
      <c r="O59" s="45"/>
      <c r="P59" s="45"/>
      <c r="Q59" s="160"/>
      <c r="R59" s="161"/>
      <c r="S59" s="46">
        <f t="shared" si="2"/>
        <v>0</v>
      </c>
      <c r="T59" s="44"/>
      <c r="U59" s="45"/>
      <c r="V59" s="160"/>
      <c r="W59" s="161"/>
      <c r="X59" s="46">
        <f t="shared" si="3"/>
        <v>0</v>
      </c>
      <c r="Y59" s="45"/>
      <c r="Z59" s="45"/>
      <c r="AA59" s="160"/>
      <c r="AB59" s="161"/>
      <c r="AC59" s="46">
        <f t="shared" si="4"/>
        <v>0</v>
      </c>
      <c r="AD59" s="45"/>
      <c r="AE59" s="45"/>
      <c r="AF59" s="160"/>
      <c r="AG59" s="161"/>
      <c r="AH59" s="46">
        <f t="shared" si="5"/>
        <v>0</v>
      </c>
      <c r="AI59" s="44"/>
      <c r="AJ59" s="45"/>
      <c r="AK59" s="160"/>
      <c r="AL59" s="161"/>
      <c r="AM59" s="225">
        <f t="shared" si="6"/>
        <v>0</v>
      </c>
    </row>
    <row r="60" spans="1:39" ht="15.75" thickBot="1">
      <c r="A60" s="16" t="s">
        <v>1</v>
      </c>
      <c r="B60" s="17" t="s">
        <v>11</v>
      </c>
      <c r="C60" s="338"/>
      <c r="D60" s="48" t="s">
        <v>11</v>
      </c>
      <c r="E60" s="48" t="s">
        <v>69</v>
      </c>
      <c r="F60" s="90">
        <v>13000</v>
      </c>
      <c r="G60" s="50">
        <v>10</v>
      </c>
      <c r="H60" s="50">
        <v>10</v>
      </c>
      <c r="I60" s="51">
        <f t="shared" si="0"/>
        <v>46200.000000000007</v>
      </c>
      <c r="J60" s="49"/>
      <c r="K60" s="50"/>
      <c r="L60" s="170"/>
      <c r="M60" s="171"/>
      <c r="N60" s="51">
        <f t="shared" si="1"/>
        <v>0</v>
      </c>
      <c r="O60" s="50"/>
      <c r="P60" s="50"/>
      <c r="Q60" s="170"/>
      <c r="R60" s="171"/>
      <c r="S60" s="51">
        <f t="shared" si="2"/>
        <v>0</v>
      </c>
      <c r="T60" s="49">
        <v>7</v>
      </c>
      <c r="U60" s="50">
        <v>7</v>
      </c>
      <c r="V60" s="170">
        <v>1</v>
      </c>
      <c r="W60" s="171">
        <v>1</v>
      </c>
      <c r="X60" s="51">
        <f t="shared" si="3"/>
        <v>9.5367999999999995</v>
      </c>
      <c r="Y60" s="50">
        <v>7</v>
      </c>
      <c r="Z60" s="50">
        <v>7</v>
      </c>
      <c r="AA60" s="170">
        <v>2</v>
      </c>
      <c r="AB60" s="171">
        <v>1</v>
      </c>
      <c r="AC60" s="51">
        <f t="shared" si="4"/>
        <v>9.9736000000000011</v>
      </c>
      <c r="AD60" s="50">
        <v>7</v>
      </c>
      <c r="AE60" s="50">
        <v>7</v>
      </c>
      <c r="AF60" s="170">
        <v>2</v>
      </c>
      <c r="AG60" s="171">
        <v>1</v>
      </c>
      <c r="AH60" s="51">
        <f t="shared" si="5"/>
        <v>9.9736000000000011</v>
      </c>
      <c r="AI60" s="49"/>
      <c r="AJ60" s="50"/>
      <c r="AK60" s="170"/>
      <c r="AL60" s="171"/>
      <c r="AM60" s="229">
        <f t="shared" si="6"/>
        <v>0</v>
      </c>
    </row>
    <row r="61" spans="1:39">
      <c r="A61" s="214" t="s">
        <v>76</v>
      </c>
      <c r="B61" s="11" t="s">
        <v>78</v>
      </c>
      <c r="C61" s="390" t="s">
        <v>76</v>
      </c>
      <c r="D61" s="34" t="s">
        <v>78</v>
      </c>
      <c r="E61" s="34" t="s">
        <v>68</v>
      </c>
      <c r="F61" s="89">
        <v>4000</v>
      </c>
      <c r="G61" s="36">
        <v>10</v>
      </c>
      <c r="H61" s="36">
        <v>10</v>
      </c>
      <c r="I61" s="77">
        <f t="shared" si="0"/>
        <v>36300</v>
      </c>
      <c r="J61" s="74"/>
      <c r="K61" s="78"/>
      <c r="L61" s="178"/>
      <c r="M61" s="179"/>
      <c r="N61" s="77">
        <f t="shared" si="1"/>
        <v>0</v>
      </c>
      <c r="O61" s="78"/>
      <c r="P61" s="78"/>
      <c r="Q61" s="178"/>
      <c r="R61" s="179"/>
      <c r="S61" s="77">
        <f t="shared" si="2"/>
        <v>0</v>
      </c>
      <c r="T61" s="74"/>
      <c r="U61" s="78"/>
      <c r="V61" s="178"/>
      <c r="W61" s="179"/>
      <c r="X61" s="77">
        <f t="shared" si="3"/>
        <v>0</v>
      </c>
      <c r="Y61" s="78"/>
      <c r="Z61" s="78"/>
      <c r="AA61" s="178"/>
      <c r="AB61" s="179"/>
      <c r="AC61" s="77">
        <f t="shared" si="4"/>
        <v>0</v>
      </c>
      <c r="AD61" s="78"/>
      <c r="AE61" s="78"/>
      <c r="AF61" s="178"/>
      <c r="AG61" s="179"/>
      <c r="AH61" s="77">
        <f t="shared" si="5"/>
        <v>0</v>
      </c>
      <c r="AI61" s="74"/>
      <c r="AJ61" s="78"/>
      <c r="AK61" s="178"/>
      <c r="AL61" s="179"/>
      <c r="AM61" s="231">
        <f t="shared" si="6"/>
        <v>0</v>
      </c>
    </row>
    <row r="62" spans="1:39">
      <c r="A62" s="215" t="s">
        <v>76</v>
      </c>
      <c r="B62" s="216" t="s">
        <v>77</v>
      </c>
      <c r="C62" s="391"/>
      <c r="D62" s="32" t="s">
        <v>77</v>
      </c>
      <c r="E62" s="32"/>
      <c r="F62" s="88">
        <v>4000</v>
      </c>
      <c r="G62" s="40"/>
      <c r="H62" s="40"/>
      <c r="I62" s="41">
        <f t="shared" si="0"/>
        <v>4400</v>
      </c>
      <c r="J62" s="39"/>
      <c r="K62" s="42"/>
      <c r="L62" s="182"/>
      <c r="M62" s="183"/>
      <c r="N62" s="41">
        <f t="shared" si="1"/>
        <v>0</v>
      </c>
      <c r="O62" s="40"/>
      <c r="P62" s="42"/>
      <c r="Q62" s="182"/>
      <c r="R62" s="183"/>
      <c r="S62" s="41">
        <f t="shared" si="2"/>
        <v>0</v>
      </c>
      <c r="T62" s="39"/>
      <c r="U62" s="40"/>
      <c r="V62" s="158"/>
      <c r="W62" s="159"/>
      <c r="X62" s="41">
        <f t="shared" si="3"/>
        <v>0</v>
      </c>
      <c r="Y62" s="40"/>
      <c r="Z62" s="40"/>
      <c r="AA62" s="158"/>
      <c r="AB62" s="159"/>
      <c r="AC62" s="41">
        <f t="shared" si="4"/>
        <v>0</v>
      </c>
      <c r="AD62" s="40"/>
      <c r="AE62" s="40"/>
      <c r="AF62" s="158"/>
      <c r="AG62" s="159"/>
      <c r="AH62" s="41">
        <f t="shared" si="5"/>
        <v>0</v>
      </c>
      <c r="AI62" s="39"/>
      <c r="AJ62" s="40"/>
      <c r="AK62" s="158"/>
      <c r="AL62" s="159"/>
      <c r="AM62" s="224">
        <f t="shared" si="6"/>
        <v>0</v>
      </c>
    </row>
    <row r="63" spans="1:39">
      <c r="A63" s="217" t="s">
        <v>76</v>
      </c>
      <c r="B63" s="218" t="s">
        <v>92</v>
      </c>
      <c r="C63" s="391"/>
      <c r="D63" s="97" t="s">
        <v>92</v>
      </c>
      <c r="E63" s="97" t="s">
        <v>68</v>
      </c>
      <c r="F63" s="92">
        <v>4000</v>
      </c>
      <c r="G63" s="74"/>
      <c r="H63" s="78"/>
      <c r="I63" s="77">
        <f t="shared" si="0"/>
        <v>4400</v>
      </c>
      <c r="J63" s="74">
        <v>7</v>
      </c>
      <c r="K63" s="76">
        <v>7</v>
      </c>
      <c r="L63" s="186"/>
      <c r="M63" s="187"/>
      <c r="N63" s="77">
        <f t="shared" si="1"/>
        <v>18.2</v>
      </c>
      <c r="O63" s="74"/>
      <c r="P63" s="76"/>
      <c r="Q63" s="186"/>
      <c r="R63" s="187"/>
      <c r="S63" s="77">
        <f t="shared" si="2"/>
        <v>0</v>
      </c>
      <c r="T63" s="74"/>
      <c r="U63" s="78"/>
      <c r="V63" s="178"/>
      <c r="W63" s="179"/>
      <c r="X63" s="77">
        <f t="shared" si="3"/>
        <v>0</v>
      </c>
      <c r="Y63" s="74"/>
      <c r="Z63" s="78"/>
      <c r="AA63" s="178"/>
      <c r="AB63" s="179"/>
      <c r="AC63" s="77">
        <f t="shared" si="4"/>
        <v>0</v>
      </c>
      <c r="AD63" s="74"/>
      <c r="AE63" s="78"/>
      <c r="AF63" s="178"/>
      <c r="AG63" s="179"/>
      <c r="AH63" s="77">
        <f t="shared" si="5"/>
        <v>0</v>
      </c>
      <c r="AI63" s="74"/>
      <c r="AJ63" s="78"/>
      <c r="AK63" s="178"/>
      <c r="AL63" s="179"/>
      <c r="AM63" s="231">
        <f t="shared" si="6"/>
        <v>0</v>
      </c>
    </row>
    <row r="64" spans="1:39" ht="15.75" thickBot="1">
      <c r="A64" s="219" t="s">
        <v>76</v>
      </c>
      <c r="B64" s="10" t="s">
        <v>91</v>
      </c>
      <c r="C64" s="392"/>
      <c r="D64" s="98" t="s">
        <v>91</v>
      </c>
      <c r="E64" s="98" t="s">
        <v>68</v>
      </c>
      <c r="F64" s="90">
        <v>4000</v>
      </c>
      <c r="G64" s="49"/>
      <c r="H64" s="50"/>
      <c r="I64" s="51">
        <f t="shared" si="0"/>
        <v>4400</v>
      </c>
      <c r="J64" s="49"/>
      <c r="K64" s="53"/>
      <c r="L64" s="162"/>
      <c r="M64" s="163"/>
      <c r="N64" s="51">
        <f t="shared" si="1"/>
        <v>0</v>
      </c>
      <c r="O64" s="49"/>
      <c r="P64" s="53"/>
      <c r="Q64" s="162"/>
      <c r="R64" s="163"/>
      <c r="S64" s="51">
        <f t="shared" si="2"/>
        <v>0</v>
      </c>
      <c r="T64" s="49">
        <v>10</v>
      </c>
      <c r="U64" s="59">
        <v>1</v>
      </c>
      <c r="V64" s="170"/>
      <c r="W64" s="171"/>
      <c r="X64" s="51">
        <f t="shared" si="3"/>
        <v>10</v>
      </c>
      <c r="Y64" s="49"/>
      <c r="Z64" s="50"/>
      <c r="AA64" s="170"/>
      <c r="AB64" s="171"/>
      <c r="AC64" s="51">
        <f t="shared" si="4"/>
        <v>0</v>
      </c>
      <c r="AD64" s="49"/>
      <c r="AE64" s="50"/>
      <c r="AF64" s="170"/>
      <c r="AG64" s="171"/>
      <c r="AH64" s="51">
        <f t="shared" si="5"/>
        <v>0</v>
      </c>
      <c r="AI64" s="49"/>
      <c r="AJ64" s="50"/>
      <c r="AK64" s="170"/>
      <c r="AL64" s="171"/>
      <c r="AM64" s="229">
        <f t="shared" si="6"/>
        <v>0</v>
      </c>
    </row>
    <row r="65" spans="1:39">
      <c r="A65" s="22" t="s">
        <v>34</v>
      </c>
      <c r="B65" s="143" t="s">
        <v>35</v>
      </c>
      <c r="C65" s="393" t="s">
        <v>34</v>
      </c>
      <c r="D65" s="222" t="s">
        <v>35</v>
      </c>
      <c r="E65" s="43" t="s">
        <v>67</v>
      </c>
      <c r="F65" s="87">
        <v>4000</v>
      </c>
      <c r="G65" s="45">
        <v>8</v>
      </c>
      <c r="H65" s="60">
        <v>1</v>
      </c>
      <c r="I65" s="46">
        <f t="shared" si="0"/>
        <v>22000</v>
      </c>
      <c r="J65" s="44"/>
      <c r="K65" s="45"/>
      <c r="L65" s="160"/>
      <c r="M65" s="161"/>
      <c r="N65" s="46">
        <f t="shared" si="1"/>
        <v>0</v>
      </c>
      <c r="O65" s="45"/>
      <c r="P65" s="45"/>
      <c r="Q65" s="160"/>
      <c r="R65" s="161"/>
      <c r="S65" s="46">
        <f t="shared" si="2"/>
        <v>0</v>
      </c>
      <c r="T65" s="44"/>
      <c r="U65" s="45"/>
      <c r="V65" s="160"/>
      <c r="W65" s="161"/>
      <c r="X65" s="46">
        <f t="shared" si="3"/>
        <v>0</v>
      </c>
      <c r="Y65" s="45"/>
      <c r="Z65" s="45"/>
      <c r="AA65" s="160"/>
      <c r="AB65" s="161"/>
      <c r="AC65" s="46">
        <f t="shared" si="4"/>
        <v>0</v>
      </c>
      <c r="AD65" s="45"/>
      <c r="AE65" s="45"/>
      <c r="AF65" s="160"/>
      <c r="AG65" s="161"/>
      <c r="AH65" s="46">
        <f t="shared" si="5"/>
        <v>0</v>
      </c>
      <c r="AI65" s="44"/>
      <c r="AJ65" s="45"/>
      <c r="AK65" s="160"/>
      <c r="AL65" s="161"/>
      <c r="AM65" s="225">
        <f t="shared" si="6"/>
        <v>0</v>
      </c>
    </row>
    <row r="66" spans="1:39">
      <c r="A66" s="22" t="s">
        <v>34</v>
      </c>
      <c r="B66" s="143" t="s">
        <v>72</v>
      </c>
      <c r="C66" s="394"/>
      <c r="D66" s="396" t="s">
        <v>72</v>
      </c>
      <c r="E66" s="334" t="s">
        <v>67</v>
      </c>
      <c r="F66" s="93">
        <v>4000</v>
      </c>
      <c r="G66" s="94"/>
      <c r="H66" s="111"/>
      <c r="I66" s="96">
        <f t="shared" si="0"/>
        <v>4400</v>
      </c>
      <c r="J66" s="95">
        <v>6</v>
      </c>
      <c r="K66" s="94">
        <v>1</v>
      </c>
      <c r="L66" s="156"/>
      <c r="M66" s="157"/>
      <c r="N66" s="96">
        <f t="shared" si="1"/>
        <v>12</v>
      </c>
      <c r="O66" s="94"/>
      <c r="P66" s="94"/>
      <c r="Q66" s="156"/>
      <c r="R66" s="157"/>
      <c r="S66" s="96">
        <f t="shared" si="2"/>
        <v>0</v>
      </c>
      <c r="T66" s="95">
        <v>3</v>
      </c>
      <c r="U66" s="94">
        <v>1</v>
      </c>
      <c r="V66" s="156"/>
      <c r="W66" s="157"/>
      <c r="X66" s="96">
        <f t="shared" si="3"/>
        <v>3</v>
      </c>
      <c r="Y66" s="94"/>
      <c r="Z66" s="94"/>
      <c r="AA66" s="156"/>
      <c r="AB66" s="157"/>
      <c r="AC66" s="96">
        <f t="shared" si="4"/>
        <v>0</v>
      </c>
      <c r="AD66" s="94"/>
      <c r="AE66" s="94"/>
      <c r="AF66" s="156"/>
      <c r="AG66" s="157"/>
      <c r="AH66" s="96">
        <f t="shared" si="5"/>
        <v>0</v>
      </c>
      <c r="AI66" s="95">
        <v>2</v>
      </c>
      <c r="AJ66" s="94">
        <v>1</v>
      </c>
      <c r="AK66" s="156"/>
      <c r="AL66" s="157"/>
      <c r="AM66" s="228">
        <f t="shared" si="6"/>
        <v>2</v>
      </c>
    </row>
    <row r="67" spans="1:39">
      <c r="A67" s="22" t="s">
        <v>34</v>
      </c>
      <c r="B67" s="143" t="s">
        <v>72</v>
      </c>
      <c r="C67" s="394"/>
      <c r="D67" s="344"/>
      <c r="E67" s="335"/>
      <c r="F67" s="93"/>
      <c r="G67" s="94"/>
      <c r="H67" s="111"/>
      <c r="I67" s="96">
        <f t="shared" si="0"/>
        <v>0</v>
      </c>
      <c r="J67" s="95">
        <v>6</v>
      </c>
      <c r="K67" s="127">
        <v>1</v>
      </c>
      <c r="L67" s="168"/>
      <c r="M67" s="169"/>
      <c r="N67" s="96">
        <f t="shared" si="1"/>
        <v>12</v>
      </c>
      <c r="O67" s="94"/>
      <c r="P67" s="94"/>
      <c r="Q67" s="156"/>
      <c r="R67" s="157"/>
      <c r="S67" s="96">
        <f t="shared" si="2"/>
        <v>0</v>
      </c>
      <c r="T67" s="95"/>
      <c r="U67" s="94"/>
      <c r="V67" s="156"/>
      <c r="W67" s="157"/>
      <c r="X67" s="96">
        <f t="shared" si="3"/>
        <v>0</v>
      </c>
      <c r="Y67" s="94"/>
      <c r="Z67" s="94"/>
      <c r="AA67" s="156"/>
      <c r="AB67" s="157"/>
      <c r="AC67" s="96">
        <f t="shared" si="4"/>
        <v>0</v>
      </c>
      <c r="AD67" s="94"/>
      <c r="AE67" s="94"/>
      <c r="AF67" s="156"/>
      <c r="AG67" s="157"/>
      <c r="AH67" s="96">
        <f t="shared" si="5"/>
        <v>0</v>
      </c>
      <c r="AI67" s="95"/>
      <c r="AJ67" s="94"/>
      <c r="AK67" s="156"/>
      <c r="AL67" s="157"/>
      <c r="AM67" s="228">
        <f t="shared" si="6"/>
        <v>0</v>
      </c>
    </row>
    <row r="68" spans="1:39">
      <c r="A68" s="22" t="s">
        <v>34</v>
      </c>
      <c r="B68" s="143" t="s">
        <v>36</v>
      </c>
      <c r="C68" s="394"/>
      <c r="D68" s="144" t="s">
        <v>36</v>
      </c>
      <c r="E68" s="91" t="s">
        <v>67</v>
      </c>
      <c r="F68" s="92">
        <v>4000</v>
      </c>
      <c r="G68" s="78">
        <v>6</v>
      </c>
      <c r="H68" s="142">
        <v>1</v>
      </c>
      <c r="I68" s="77">
        <f t="shared" si="0"/>
        <v>17600</v>
      </c>
      <c r="J68" s="74"/>
      <c r="K68" s="78"/>
      <c r="L68" s="178"/>
      <c r="M68" s="179"/>
      <c r="N68" s="77">
        <f t="shared" si="1"/>
        <v>0</v>
      </c>
      <c r="O68" s="78">
        <v>8</v>
      </c>
      <c r="P68" s="142">
        <v>1</v>
      </c>
      <c r="Q68" s="192"/>
      <c r="R68" s="193"/>
      <c r="S68" s="77">
        <f t="shared" si="2"/>
        <v>16</v>
      </c>
      <c r="T68" s="74">
        <v>6</v>
      </c>
      <c r="U68" s="142">
        <v>1</v>
      </c>
      <c r="V68" s="192"/>
      <c r="W68" s="193"/>
      <c r="X68" s="77">
        <f t="shared" si="3"/>
        <v>6</v>
      </c>
      <c r="Y68" s="78"/>
      <c r="Z68" s="78"/>
      <c r="AA68" s="178"/>
      <c r="AB68" s="179"/>
      <c r="AC68" s="77">
        <f t="shared" si="4"/>
        <v>0</v>
      </c>
      <c r="AD68" s="78">
        <v>6</v>
      </c>
      <c r="AE68" s="142">
        <v>1</v>
      </c>
      <c r="AF68" s="192"/>
      <c r="AG68" s="193"/>
      <c r="AH68" s="77">
        <f t="shared" si="5"/>
        <v>6</v>
      </c>
      <c r="AI68" s="74"/>
      <c r="AJ68" s="78"/>
      <c r="AK68" s="178"/>
      <c r="AL68" s="179"/>
      <c r="AM68" s="231">
        <f t="shared" si="6"/>
        <v>0</v>
      </c>
    </row>
    <row r="69" spans="1:39" ht="15.75" thickBot="1">
      <c r="A69" s="220" t="s">
        <v>34</v>
      </c>
      <c r="B69" s="221" t="s">
        <v>53</v>
      </c>
      <c r="C69" s="395"/>
      <c r="D69" s="145" t="s">
        <v>53</v>
      </c>
      <c r="E69" s="48" t="s">
        <v>67</v>
      </c>
      <c r="F69" s="49">
        <v>4000</v>
      </c>
      <c r="G69" s="49">
        <v>5</v>
      </c>
      <c r="H69" s="53">
        <v>5</v>
      </c>
      <c r="I69" s="51">
        <f t="shared" si="0"/>
        <v>17600</v>
      </c>
      <c r="J69" s="49">
        <v>5</v>
      </c>
      <c r="K69" s="50">
        <v>5</v>
      </c>
      <c r="L69" s="196"/>
      <c r="M69" s="171"/>
      <c r="N69" s="51">
        <f t="shared" si="1"/>
        <v>12</v>
      </c>
      <c r="O69" s="49">
        <v>5</v>
      </c>
      <c r="P69" s="50">
        <v>5</v>
      </c>
      <c r="Q69" s="170"/>
      <c r="R69" s="171"/>
      <c r="S69" s="51">
        <f t="shared" si="2"/>
        <v>12</v>
      </c>
      <c r="T69" s="49"/>
      <c r="U69" s="50"/>
      <c r="V69" s="170"/>
      <c r="W69" s="171"/>
      <c r="X69" s="51">
        <f t="shared" si="3"/>
        <v>0</v>
      </c>
      <c r="Y69" s="49">
        <v>4</v>
      </c>
      <c r="Z69" s="50">
        <v>4</v>
      </c>
      <c r="AA69" s="170"/>
      <c r="AB69" s="171"/>
      <c r="AC69" s="51">
        <f t="shared" si="4"/>
        <v>4.5999999999999996</v>
      </c>
      <c r="AD69" s="49"/>
      <c r="AE69" s="50"/>
      <c r="AF69" s="170"/>
      <c r="AG69" s="171"/>
      <c r="AH69" s="51">
        <f t="shared" si="5"/>
        <v>0</v>
      </c>
      <c r="AI69" s="49"/>
      <c r="AJ69" s="50"/>
      <c r="AK69" s="170"/>
      <c r="AL69" s="171"/>
      <c r="AM69" s="229">
        <f t="shared" si="6"/>
        <v>0</v>
      </c>
    </row>
    <row r="70" spans="1:39">
      <c r="A70" s="202" t="s">
        <v>138</v>
      </c>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row r="316" spans="3:39">
      <c r="C316" s="31"/>
      <c r="D316" s="31"/>
      <c r="E316" s="31"/>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row>
    <row r="317" spans="3:39">
      <c r="C317" s="31"/>
      <c r="D317" s="31"/>
      <c r="E317" s="31"/>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row>
    <row r="318" spans="3:39">
      <c r="C318" s="31"/>
      <c r="D318" s="31"/>
      <c r="E318" s="31"/>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c r="AJ318" s="30"/>
      <c r="AK318" s="30"/>
      <c r="AL318" s="30"/>
      <c r="AM318" s="30"/>
    </row>
    <row r="319" spans="3:39">
      <c r="C319" s="31"/>
      <c r="D319" s="31"/>
      <c r="E319" s="31"/>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c r="AJ319" s="30"/>
      <c r="AK319" s="30"/>
      <c r="AL319" s="30"/>
      <c r="AM319" s="30"/>
    </row>
    <row r="320" spans="3:39">
      <c r="C320" s="31"/>
      <c r="D320" s="31"/>
      <c r="E320" s="31"/>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c r="AJ320" s="30"/>
      <c r="AK320" s="30"/>
      <c r="AL320" s="30"/>
      <c r="AM320" s="30"/>
    </row>
  </sheetData>
  <autoFilter ref="A3:B3"/>
  <sortState ref="C4:Z28">
    <sortCondition ref="C4"/>
  </sortState>
  <mergeCells count="56">
    <mergeCell ref="C61:C64"/>
    <mergeCell ref="E8:E9"/>
    <mergeCell ref="C65:C69"/>
    <mergeCell ref="E28:E29"/>
    <mergeCell ref="E26:E27"/>
    <mergeCell ref="C41:C42"/>
    <mergeCell ref="E58:E59"/>
    <mergeCell ref="E38:E39"/>
    <mergeCell ref="E35:E36"/>
    <mergeCell ref="D35:D36"/>
    <mergeCell ref="D38:D39"/>
    <mergeCell ref="D54:D55"/>
    <mergeCell ref="E54:E55"/>
    <mergeCell ref="D50:D51"/>
    <mergeCell ref="E50:E51"/>
    <mergeCell ref="D66:D67"/>
    <mergeCell ref="E66:E67"/>
    <mergeCell ref="Y3:AC3"/>
    <mergeCell ref="C4:C10"/>
    <mergeCell ref="AD3:AH3"/>
    <mergeCell ref="C53:C60"/>
    <mergeCell ref="C49:C52"/>
    <mergeCell ref="C47:C48"/>
    <mergeCell ref="C43:C46"/>
    <mergeCell ref="D58:D59"/>
    <mergeCell ref="D28:D29"/>
    <mergeCell ref="C34:C40"/>
    <mergeCell ref="C25:C30"/>
    <mergeCell ref="C13:C15"/>
    <mergeCell ref="C11:C12"/>
    <mergeCell ref="D26:D27"/>
    <mergeCell ref="C16:C18"/>
    <mergeCell ref="C2:E2"/>
    <mergeCell ref="D20:D21"/>
    <mergeCell ref="AI3:AM3"/>
    <mergeCell ref="F2:I2"/>
    <mergeCell ref="F3:I3"/>
    <mergeCell ref="AI2:AM2"/>
    <mergeCell ref="AD2:AH2"/>
    <mergeCell ref="Y2:AC2"/>
    <mergeCell ref="T2:X2"/>
    <mergeCell ref="O2:S2"/>
    <mergeCell ref="J2:N2"/>
    <mergeCell ref="T3:X3"/>
    <mergeCell ref="J3:N3"/>
    <mergeCell ref="O3:S3"/>
    <mergeCell ref="D6:D7"/>
    <mergeCell ref="E6:E7"/>
    <mergeCell ref="E56:E57"/>
    <mergeCell ref="D56:D57"/>
    <mergeCell ref="C20:C24"/>
    <mergeCell ref="E20:E21"/>
    <mergeCell ref="D8:D9"/>
    <mergeCell ref="C31:C33"/>
    <mergeCell ref="D32:D33"/>
    <mergeCell ref="E32:E33"/>
  </mergeCells>
  <conditionalFormatting sqref="L70:L1048576 L1:L68 G1:K1048576 F34:F1048576 F1:F32 M1:AM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66:AE66 Y66:Z66 Y3" formula="1"/>
  </ignoredErrors>
</worksheet>
</file>

<file path=xl/worksheets/sheet2.xml><?xml version="1.0" encoding="utf-8"?>
<worksheet xmlns="http://schemas.openxmlformats.org/spreadsheetml/2006/main" xmlns:r="http://schemas.openxmlformats.org/officeDocument/2006/relationships">
  <sheetPr codeName="Feuil3"/>
  <dimension ref="A1:X27"/>
  <sheetViews>
    <sheetView workbookViewId="0">
      <selection activeCell="J19" sqref="B1:J19"/>
    </sheetView>
  </sheetViews>
  <sheetFormatPr baseColWidth="10" defaultRowHeight="15"/>
  <cols>
    <col min="2" max="2" width="11.42578125" style="30"/>
    <col min="3" max="9" width="4.5703125" style="30" customWidth="1"/>
    <col min="10" max="10" width="5.5703125" bestFit="1" customWidth="1"/>
    <col min="16" max="16" width="9.5703125" bestFit="1" customWidth="1"/>
    <col min="17" max="22" width="7.7109375" customWidth="1"/>
  </cols>
  <sheetData>
    <row r="1" spans="1:24" ht="15.75" thickBot="1">
      <c r="A1">
        <v>1</v>
      </c>
      <c r="B1" s="398" t="s">
        <v>140</v>
      </c>
      <c r="C1" s="398"/>
      <c r="D1" s="398"/>
      <c r="E1" s="398"/>
      <c r="F1" s="398"/>
      <c r="G1" s="398"/>
      <c r="H1" s="398"/>
      <c r="I1" s="398"/>
      <c r="J1" s="398"/>
      <c r="K1">
        <v>11</v>
      </c>
      <c r="L1" s="30">
        <v>12</v>
      </c>
      <c r="M1">
        <v>13</v>
      </c>
      <c r="N1" s="30">
        <v>14</v>
      </c>
      <c r="O1" s="397" t="s">
        <v>139</v>
      </c>
      <c r="P1" s="397"/>
      <c r="Q1" s="397"/>
      <c r="R1" s="397"/>
      <c r="S1" s="397"/>
      <c r="T1" s="397"/>
      <c r="U1" s="397"/>
      <c r="V1" s="397"/>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COUNTA(Ressources!G4:G10)</f>
        <v>6</v>
      </c>
      <c r="D3" s="117">
        <f>COUNTA(Ressources!J4:J10)</f>
        <v>4</v>
      </c>
      <c r="E3" s="116">
        <f>COUNTA(Ressources!O4:O10)</f>
        <v>5</v>
      </c>
      <c r="F3" s="117">
        <f>COUNTA(Ressources!T4:T10)</f>
        <v>2</v>
      </c>
      <c r="G3" s="116">
        <f>COUNTA(Ressources!Y4:Y10)</f>
        <v>1</v>
      </c>
      <c r="H3" s="117">
        <f>COUNTA(Ressources!AD4:AD10)</f>
        <v>1</v>
      </c>
      <c r="I3" s="118">
        <f>COUNTA(Ressources!AI4:AI10)</f>
        <v>1</v>
      </c>
      <c r="J3" s="27">
        <f>SUM(C3:I3)</f>
        <v>20</v>
      </c>
      <c r="L3" s="146">
        <f>SUM(Ressources!I4:I10)</f>
        <v>166540</v>
      </c>
      <c r="M3" s="149">
        <f t="shared" ref="M3:M18" si="0">L3/$L$19</f>
        <v>0.11786687427014403</v>
      </c>
      <c r="N3" s="299"/>
      <c r="O3" s="306" t="s">
        <v>26</v>
      </c>
      <c r="P3" s="211">
        <v>166540</v>
      </c>
      <c r="Q3" s="203">
        <v>63.250399999999999</v>
      </c>
      <c r="R3" s="203">
        <v>74.239200000000011</v>
      </c>
      <c r="S3" s="203">
        <v>10.75</v>
      </c>
      <c r="T3" s="203">
        <v>5.5</v>
      </c>
      <c r="U3" s="203">
        <v>9.9</v>
      </c>
      <c r="V3" s="204">
        <v>1</v>
      </c>
    </row>
    <row r="4" spans="1:24">
      <c r="B4" s="125" t="s">
        <v>18</v>
      </c>
      <c r="C4" s="121">
        <f>COUNTA(Ressources!G11:G12)</f>
        <v>2</v>
      </c>
      <c r="D4" s="122">
        <f>COUNTA(Ressources!J11:J12)</f>
        <v>1</v>
      </c>
      <c r="E4" s="123">
        <f>COUNTA(Ressources!O11:O12)</f>
        <v>1</v>
      </c>
      <c r="F4" s="122">
        <f>COUNTA(Ressources!T11:T12)</f>
        <v>1</v>
      </c>
      <c r="G4" s="123">
        <f>COUNTA(Ressources!Y11:Y12)</f>
        <v>0</v>
      </c>
      <c r="H4" s="122">
        <f>COUNTA(Ressources!AD11:AD12)</f>
        <v>1</v>
      </c>
      <c r="I4" s="124">
        <f>COUNTA(Ressources!AI11:AI12)</f>
        <v>2</v>
      </c>
      <c r="J4" s="28">
        <f t="shared" ref="J4:J18" si="1">SUM(C4:I4)</f>
        <v>8</v>
      </c>
      <c r="L4" s="147">
        <f>SUM(Ressources!I11:I12)</f>
        <v>77660.000000000015</v>
      </c>
      <c r="M4" s="150">
        <f t="shared" si="0"/>
        <v>5.496302063059557E-2</v>
      </c>
      <c r="O4" s="125" t="s">
        <v>18</v>
      </c>
      <c r="P4" s="212">
        <v>77660.000000000015</v>
      </c>
      <c r="Q4" s="205">
        <v>31.247999999999998</v>
      </c>
      <c r="R4" s="205">
        <v>26.784000000000002</v>
      </c>
      <c r="S4" s="205">
        <v>12.6</v>
      </c>
      <c r="T4" s="205">
        <v>0</v>
      </c>
      <c r="U4" s="205">
        <v>12.15</v>
      </c>
      <c r="V4" s="206">
        <v>24.192</v>
      </c>
    </row>
    <row r="5" spans="1:24">
      <c r="B5" s="114" t="s">
        <v>23</v>
      </c>
      <c r="C5" s="33">
        <f>COUNTA(Ressources!G13:G15)</f>
        <v>1</v>
      </c>
      <c r="D5" s="119">
        <f>COUNTA(Ressources!J13:J15)</f>
        <v>1</v>
      </c>
      <c r="E5" s="33">
        <f>COUNTA(Ressources!O13:O15)</f>
        <v>1</v>
      </c>
      <c r="F5" s="119">
        <f>COUNTA(Ressources!T13:T15)</f>
        <v>0</v>
      </c>
      <c r="G5" s="33">
        <f>COUNTA(Ressources!Y13:Y15)</f>
        <v>2</v>
      </c>
      <c r="H5" s="119">
        <f>COUNTA(Ressources!AD13:AD15)</f>
        <v>0</v>
      </c>
      <c r="I5" s="120">
        <f>COUNTA(Ressources!AI13:AI15)</f>
        <v>0</v>
      </c>
      <c r="J5" s="28">
        <f t="shared" si="1"/>
        <v>5</v>
      </c>
      <c r="L5" s="147">
        <f>SUM(Ressources!I13:I15)</f>
        <v>35200</v>
      </c>
      <c r="M5" s="150">
        <f t="shared" si="0"/>
        <v>2.4912417282989489E-2</v>
      </c>
      <c r="O5" s="307" t="s">
        <v>23</v>
      </c>
      <c r="P5" s="212">
        <v>35200</v>
      </c>
      <c r="Q5" s="205">
        <v>20</v>
      </c>
      <c r="R5" s="205">
        <v>24</v>
      </c>
      <c r="S5" s="205">
        <v>0</v>
      </c>
      <c r="T5" s="205">
        <v>11.1</v>
      </c>
      <c r="U5" s="205">
        <v>0</v>
      </c>
      <c r="V5" s="206">
        <v>0</v>
      </c>
    </row>
    <row r="6" spans="1:24">
      <c r="B6" s="125" t="s">
        <v>41</v>
      </c>
      <c r="C6" s="121">
        <f>COUNTA(Ressources!G16:G18)</f>
        <v>2</v>
      </c>
      <c r="D6" s="122">
        <f>COUNTA(Ressources!J16:J18)</f>
        <v>1</v>
      </c>
      <c r="E6" s="123">
        <f>COUNTA(Ressources!O16:O18)</f>
        <v>1</v>
      </c>
      <c r="F6" s="122">
        <f>COUNTA(Ressources!T16:T18)</f>
        <v>1</v>
      </c>
      <c r="G6" s="123">
        <f>COUNTA(Ressources!Y16:Y18)</f>
        <v>2</v>
      </c>
      <c r="H6" s="122">
        <f>COUNTA(Ressources!AD16:AD18)</f>
        <v>1</v>
      </c>
      <c r="I6" s="124">
        <f>COUNTA(Ressources!AI16:AI18)</f>
        <v>1</v>
      </c>
      <c r="J6" s="28">
        <f t="shared" si="1"/>
        <v>9</v>
      </c>
      <c r="L6" s="147">
        <f>SUM(Ressources!I16:I18)</f>
        <v>50600</v>
      </c>
      <c r="M6" s="150">
        <f t="shared" si="0"/>
        <v>3.5811599844297395E-2</v>
      </c>
      <c r="O6" s="125" t="s">
        <v>41</v>
      </c>
      <c r="P6" s="212">
        <v>50600</v>
      </c>
      <c r="Q6" s="205">
        <v>6</v>
      </c>
      <c r="R6" s="205">
        <v>14</v>
      </c>
      <c r="S6" s="205">
        <v>9</v>
      </c>
      <c r="T6" s="205">
        <v>9</v>
      </c>
      <c r="U6" s="205">
        <v>3</v>
      </c>
      <c r="V6" s="206">
        <v>3</v>
      </c>
    </row>
    <row r="7" spans="1:24">
      <c r="B7" s="114" t="s">
        <v>33</v>
      </c>
      <c r="C7" s="33">
        <f>COUNTA(Ressources!G19:G19)</f>
        <v>1</v>
      </c>
      <c r="D7" s="119">
        <f>COUNTA(Ressources!J19:J19)</f>
        <v>1</v>
      </c>
      <c r="E7" s="33">
        <f>COUNTA(Ressources!O19:O19)</f>
        <v>0</v>
      </c>
      <c r="F7" s="119">
        <f>COUNTA(Ressources!T19:T19)</f>
        <v>0</v>
      </c>
      <c r="G7" s="33">
        <f>COUNTA(Ressources!Y19:Y19)</f>
        <v>0</v>
      </c>
      <c r="H7" s="119">
        <f>COUNTA(Ressources!AD19:AD19)</f>
        <v>0</v>
      </c>
      <c r="I7" s="120">
        <f>COUNTA(Ressources!AI19:AI19)</f>
        <v>0</v>
      </c>
      <c r="J7" s="28">
        <f t="shared" si="1"/>
        <v>2</v>
      </c>
      <c r="L7" s="147">
        <f>SUM(Ressources!I19)</f>
        <v>8800</v>
      </c>
      <c r="M7" s="150">
        <f t="shared" si="0"/>
        <v>6.2281043207473722E-3</v>
      </c>
      <c r="O7" s="307" t="s">
        <v>33</v>
      </c>
      <c r="P7" s="212">
        <v>8800</v>
      </c>
      <c r="Q7" s="205">
        <v>4</v>
      </c>
      <c r="R7" s="205">
        <v>0</v>
      </c>
      <c r="S7" s="205">
        <v>0</v>
      </c>
      <c r="T7" s="205">
        <v>0</v>
      </c>
      <c r="U7" s="205">
        <v>0</v>
      </c>
      <c r="V7" s="206">
        <v>0</v>
      </c>
    </row>
    <row r="8" spans="1:24">
      <c r="B8" s="125" t="s">
        <v>37</v>
      </c>
      <c r="C8" s="121">
        <f>COUNTA(Ressources!G20:G24)</f>
        <v>4</v>
      </c>
      <c r="D8" s="122">
        <f>COUNTA(Ressources!J20:J24)</f>
        <v>3</v>
      </c>
      <c r="E8" s="123">
        <f>COUNTA(Ressources!O20:O24)</f>
        <v>3</v>
      </c>
      <c r="F8" s="122">
        <f>COUNTA(Ressources!T20:T24)</f>
        <v>1</v>
      </c>
      <c r="G8" s="123">
        <f>COUNTA(Ressources!Y20:Y24)</f>
        <v>0</v>
      </c>
      <c r="H8" s="122">
        <f>COUNTA(Ressources!AD20:AD24)</f>
        <v>2</v>
      </c>
      <c r="I8" s="124">
        <f>COUNTA(Ressources!AI20:AI24)</f>
        <v>3</v>
      </c>
      <c r="J8" s="28">
        <f t="shared" si="1"/>
        <v>16</v>
      </c>
      <c r="L8" s="147">
        <f>SUM(Ressources!I20:I24)</f>
        <v>113080.00000000001</v>
      </c>
      <c r="M8" s="150">
        <f t="shared" si="0"/>
        <v>8.0031140521603747E-2</v>
      </c>
      <c r="O8" s="133" t="s">
        <v>37</v>
      </c>
      <c r="P8" s="213">
        <v>113080.00000000001</v>
      </c>
      <c r="Q8" s="207">
        <v>44</v>
      </c>
      <c r="R8" s="207">
        <v>44.7</v>
      </c>
      <c r="S8" s="207">
        <v>7.5</v>
      </c>
      <c r="T8" s="207">
        <v>0</v>
      </c>
      <c r="U8" s="207">
        <v>16.600000000000001</v>
      </c>
      <c r="V8" s="208">
        <v>20.5</v>
      </c>
    </row>
    <row r="9" spans="1:24">
      <c r="B9" s="322" t="s">
        <v>29</v>
      </c>
      <c r="C9" s="323">
        <f>COUNTA(Ressources!G25:G30)</f>
        <v>3</v>
      </c>
      <c r="D9" s="324">
        <f>COUNTA(Ressources!J25:J30)</f>
        <v>3</v>
      </c>
      <c r="E9" s="323">
        <f>COUNTA(Ressources!O25:O30)</f>
        <v>3</v>
      </c>
      <c r="F9" s="324">
        <f>COUNTA(Ressources!T25:T30)</f>
        <v>3</v>
      </c>
      <c r="G9" s="323">
        <f>COUNTA(Ressources!Y25:Y30)</f>
        <v>1</v>
      </c>
      <c r="H9" s="324">
        <f>COUNTA(Ressources!AD25:AD30)</f>
        <v>1</v>
      </c>
      <c r="I9" s="325">
        <f>COUNTA(Ressources!AI25:AI30)</f>
        <v>2</v>
      </c>
      <c r="J9" s="28">
        <f t="shared" si="1"/>
        <v>16</v>
      </c>
      <c r="L9" s="147">
        <f>SUM(Ressources!I25:I30)</f>
        <v>87450</v>
      </c>
      <c r="M9" s="150">
        <f t="shared" si="0"/>
        <v>6.1891786687427015E-2</v>
      </c>
      <c r="O9" s="125" t="s">
        <v>29</v>
      </c>
      <c r="P9" s="329">
        <v>87450</v>
      </c>
      <c r="Q9" s="330">
        <v>45.534400000000005</v>
      </c>
      <c r="R9" s="330">
        <v>49.851200000000006</v>
      </c>
      <c r="S9" s="330">
        <v>16.5</v>
      </c>
      <c r="T9" s="330">
        <v>9.2064000000000004</v>
      </c>
      <c r="U9" s="330">
        <v>6.6000000000000005</v>
      </c>
      <c r="V9" s="331">
        <v>8.1999999999999993</v>
      </c>
    </row>
    <row r="10" spans="1:24">
      <c r="B10" s="305" t="s">
        <v>148</v>
      </c>
      <c r="C10" s="33">
        <f>COUNTA(Ressources!G31:G33)</f>
        <v>1</v>
      </c>
      <c r="D10" s="119">
        <f>COUNTA(Ressources!J31:J33)</f>
        <v>3</v>
      </c>
      <c r="E10" s="33">
        <f>COUNTA(Ressources!O31:O33)</f>
        <v>2</v>
      </c>
      <c r="F10" s="119">
        <f>COUNTA(Ressources!T31:T33)</f>
        <v>1</v>
      </c>
      <c r="G10" s="33">
        <f>COUNTA(Ressources!Y31:Y33)</f>
        <v>1</v>
      </c>
      <c r="H10" s="119">
        <f>COUNTA(Ressources!AD31:AD33)</f>
        <v>0</v>
      </c>
      <c r="I10" s="120">
        <f>COUNTA(Ressources!AI31:AI33)</f>
        <v>0</v>
      </c>
      <c r="J10" s="28">
        <f t="shared" si="1"/>
        <v>8</v>
      </c>
      <c r="L10" s="147">
        <f>SUM(Ressources!I31:I33)</f>
        <v>25960</v>
      </c>
      <c r="M10" s="150">
        <f t="shared" si="0"/>
        <v>1.8372907746204748E-2</v>
      </c>
      <c r="O10" s="307" t="s">
        <v>148</v>
      </c>
      <c r="P10" s="326">
        <v>25960</v>
      </c>
      <c r="Q10" s="327">
        <v>20.872</v>
      </c>
      <c r="R10" s="327">
        <v>12.576000000000001</v>
      </c>
      <c r="S10" s="327">
        <v>0</v>
      </c>
      <c r="T10" s="327">
        <v>6.2880000000000003</v>
      </c>
      <c r="U10" s="327">
        <v>0</v>
      </c>
      <c r="V10" s="328">
        <v>0</v>
      </c>
    </row>
    <row r="11" spans="1:24">
      <c r="B11" s="125" t="s">
        <v>0</v>
      </c>
      <c r="C11" s="121">
        <f>COUNTA(Ressources!G34:G40)</f>
        <v>7</v>
      </c>
      <c r="D11" s="122">
        <f>COUNTA(Ressources!J34:J40)</f>
        <v>3</v>
      </c>
      <c r="E11" s="123">
        <f>COUNTA(Ressources!O34:O40)</f>
        <v>4</v>
      </c>
      <c r="F11" s="122">
        <f>COUNTA(Ressources!T34:T40)</f>
        <v>1</v>
      </c>
      <c r="G11" s="123">
        <f>COUNTA(Ressources!Y34:Y40)</f>
        <v>3</v>
      </c>
      <c r="H11" s="122">
        <f>COUNTA(Ressources!AD34:AD40)</f>
        <v>0</v>
      </c>
      <c r="I11" s="124">
        <f>COUNTA(Ressources!AI34:AI40)</f>
        <v>2</v>
      </c>
      <c r="J11" s="28">
        <f t="shared" si="1"/>
        <v>20</v>
      </c>
      <c r="L11" s="147">
        <f>SUM(Ressources!I34:I40)</f>
        <v>227040</v>
      </c>
      <c r="M11" s="150">
        <f t="shared" si="0"/>
        <v>0.1606850914752822</v>
      </c>
      <c r="O11" s="125" t="s">
        <v>0</v>
      </c>
      <c r="P11" s="212">
        <v>227040</v>
      </c>
      <c r="Q11" s="205">
        <v>55.779200000000003</v>
      </c>
      <c r="R11" s="205">
        <v>75.726399999999998</v>
      </c>
      <c r="S11" s="205">
        <v>9.9736000000000011</v>
      </c>
      <c r="T11" s="205">
        <v>23.473600000000001</v>
      </c>
      <c r="U11" s="205">
        <v>0</v>
      </c>
      <c r="V11" s="206">
        <v>13.7</v>
      </c>
    </row>
    <row r="12" spans="1:24">
      <c r="B12" s="114" t="s">
        <v>46</v>
      </c>
      <c r="C12" s="33">
        <f>COUNTA(Ressources!G41:G42)</f>
        <v>2</v>
      </c>
      <c r="D12" s="119">
        <f>COUNTA(Ressources!J41:J42)</f>
        <v>0</v>
      </c>
      <c r="E12" s="33">
        <f>COUNTA(Ressources!O41:O42)</f>
        <v>0</v>
      </c>
      <c r="F12" s="119">
        <f>COUNTA(Ressources!T41:T42)</f>
        <v>0</v>
      </c>
      <c r="G12" s="33">
        <f>COUNTA(Ressources!Y41:Y42)</f>
        <v>0</v>
      </c>
      <c r="H12" s="119">
        <f>COUNTA(Ressources!AD41:AD42)</f>
        <v>0</v>
      </c>
      <c r="I12" s="120">
        <f>COUNTA(Ressources!AI41:AI42)</f>
        <v>1</v>
      </c>
      <c r="J12" s="28">
        <f t="shared" si="1"/>
        <v>3</v>
      </c>
      <c r="L12" s="147">
        <f>SUM(Ressources!I41:I42)</f>
        <v>39600.000000000007</v>
      </c>
      <c r="M12" s="150">
        <f t="shared" si="0"/>
        <v>2.8026469443363181E-2</v>
      </c>
      <c r="O12" s="307" t="s">
        <v>46</v>
      </c>
      <c r="P12" s="212">
        <v>39600.000000000007</v>
      </c>
      <c r="Q12" s="205">
        <v>0</v>
      </c>
      <c r="R12" s="205">
        <v>0</v>
      </c>
      <c r="S12" s="205">
        <v>0</v>
      </c>
      <c r="T12" s="205">
        <v>0</v>
      </c>
      <c r="U12" s="205">
        <v>0</v>
      </c>
      <c r="V12" s="206">
        <v>7.5</v>
      </c>
    </row>
    <row r="13" spans="1:24">
      <c r="B13" s="125" t="s">
        <v>38</v>
      </c>
      <c r="C13" s="121">
        <f>COUNTA(Ressources!G43:G46)</f>
        <v>4</v>
      </c>
      <c r="D13" s="122">
        <f>COUNTA(Ressources!J43:J46)</f>
        <v>3</v>
      </c>
      <c r="E13" s="123">
        <f>COUNTA(Ressources!O43:O46)</f>
        <v>4</v>
      </c>
      <c r="F13" s="122">
        <f>COUNTA(Ressources!T43:T46)</f>
        <v>1</v>
      </c>
      <c r="G13" s="123">
        <f>COUNTA(Ressources!Y43:Y46)</f>
        <v>3</v>
      </c>
      <c r="H13" s="122">
        <f>COUNTA(Ressources!AD43:AD46)</f>
        <v>0</v>
      </c>
      <c r="I13" s="124">
        <f>COUNTA(Ressources!AI43:AI46)</f>
        <v>1</v>
      </c>
      <c r="J13" s="28">
        <f t="shared" si="1"/>
        <v>16</v>
      </c>
      <c r="L13" s="147">
        <f>SUM(Ressources!I43:I46)</f>
        <v>109560</v>
      </c>
      <c r="M13" s="150">
        <f t="shared" si="0"/>
        <v>7.7539898793304793E-2</v>
      </c>
      <c r="O13" s="125" t="s">
        <v>38</v>
      </c>
      <c r="P13" s="212">
        <v>109560</v>
      </c>
      <c r="Q13" s="205">
        <v>59.7</v>
      </c>
      <c r="R13" s="205">
        <v>52.400000000000006</v>
      </c>
      <c r="S13" s="205">
        <v>5.5</v>
      </c>
      <c r="T13" s="205">
        <v>24.7</v>
      </c>
      <c r="U13" s="205">
        <v>0</v>
      </c>
      <c r="V13" s="206">
        <v>5.5</v>
      </c>
    </row>
    <row r="14" spans="1:24">
      <c r="B14" s="114" t="s">
        <v>20</v>
      </c>
      <c r="C14" s="33">
        <f>COUNTA(Ressources!G47:G48)</f>
        <v>1</v>
      </c>
      <c r="D14" s="119">
        <f>COUNTA(Ressources!J47:J48)</f>
        <v>2</v>
      </c>
      <c r="E14" s="33">
        <f>COUNTA(Ressources!O47:O48)</f>
        <v>1</v>
      </c>
      <c r="F14" s="119">
        <f>COUNTA(Ressources!T47:T48)</f>
        <v>0</v>
      </c>
      <c r="G14" s="33">
        <f>COUNTA(Ressources!Y47:Y48)</f>
        <v>1</v>
      </c>
      <c r="H14" s="119">
        <f>COUNTA(Ressources!AD47:AD48)</f>
        <v>1</v>
      </c>
      <c r="I14" s="120">
        <f>COUNTA(Ressources!AI47:AI48)</f>
        <v>2</v>
      </c>
      <c r="J14" s="28">
        <f t="shared" si="1"/>
        <v>8</v>
      </c>
      <c r="L14" s="147">
        <f>SUM(Ressources!I47:I48)</f>
        <v>34100</v>
      </c>
      <c r="M14" s="150">
        <f t="shared" si="0"/>
        <v>2.4133904242896069E-2</v>
      </c>
      <c r="O14" s="307" t="s">
        <v>20</v>
      </c>
      <c r="P14" s="212">
        <v>34100</v>
      </c>
      <c r="Q14" s="205">
        <v>27.4</v>
      </c>
      <c r="R14" s="205">
        <v>21.6</v>
      </c>
      <c r="S14" s="205">
        <v>0</v>
      </c>
      <c r="T14" s="205">
        <v>6</v>
      </c>
      <c r="U14" s="205">
        <v>6</v>
      </c>
      <c r="V14" s="206">
        <v>15.1</v>
      </c>
    </row>
    <row r="15" spans="1:24">
      <c r="B15" s="125" t="s">
        <v>2</v>
      </c>
      <c r="C15" s="121">
        <f>COUNTA(Ressources!G49:G52)</f>
        <v>3</v>
      </c>
      <c r="D15" s="122">
        <f>COUNTA(Ressources!J49:J52)</f>
        <v>2</v>
      </c>
      <c r="E15" s="123">
        <f>COUNTA(Ressources!O49:O52)</f>
        <v>2</v>
      </c>
      <c r="F15" s="122">
        <f>COUNTA(Ressources!T49:T52)</f>
        <v>2</v>
      </c>
      <c r="G15" s="123">
        <f>COUNTA(Ressources!Y49:Y52)</f>
        <v>2</v>
      </c>
      <c r="H15" s="122">
        <f>COUNTA(Ressources!AD49:AD52)</f>
        <v>1</v>
      </c>
      <c r="I15" s="124">
        <f>COUNTA(Ressources!AI49:AI52)</f>
        <v>0</v>
      </c>
      <c r="J15" s="28">
        <f t="shared" si="1"/>
        <v>12</v>
      </c>
      <c r="L15" s="147">
        <f>SUM(Ressources!I49:I52)</f>
        <v>87780</v>
      </c>
      <c r="M15" s="150">
        <f t="shared" si="0"/>
        <v>6.2125340599455042E-2</v>
      </c>
      <c r="O15" s="125" t="s">
        <v>2</v>
      </c>
      <c r="P15" s="212">
        <v>87780</v>
      </c>
      <c r="Q15" s="205">
        <v>26.6</v>
      </c>
      <c r="R15" s="205">
        <v>43.2</v>
      </c>
      <c r="S15" s="205">
        <v>15.9</v>
      </c>
      <c r="T15" s="205">
        <v>19.899999999999999</v>
      </c>
      <c r="U15" s="205">
        <v>9.1</v>
      </c>
      <c r="V15" s="206">
        <v>0</v>
      </c>
    </row>
    <row r="16" spans="1:24">
      <c r="B16" s="133" t="s">
        <v>1</v>
      </c>
      <c r="C16" s="33">
        <f>COUNTA(Ressources!G53:G60)</f>
        <v>7</v>
      </c>
      <c r="D16" s="119">
        <f>COUNTA(Ressources!J53:J60)</f>
        <v>3</v>
      </c>
      <c r="E16" s="33">
        <f>COUNTA(Ressources!O53:O60)</f>
        <v>3</v>
      </c>
      <c r="F16" s="119">
        <f>COUNTA(Ressources!T53:T60)</f>
        <v>1</v>
      </c>
      <c r="G16" s="33">
        <f>COUNTA(Ressources!Y53:Y60)</f>
        <v>1</v>
      </c>
      <c r="H16" s="119">
        <f>COUNTA(Ressources!AD53:AD60)</f>
        <v>2</v>
      </c>
      <c r="I16" s="120">
        <f>COUNTA(Ressources!AI53:AI60)</f>
        <v>3</v>
      </c>
      <c r="J16" s="28">
        <f t="shared" si="1"/>
        <v>20</v>
      </c>
      <c r="L16" s="147">
        <f>SUM(Ressources!I53:I60)</f>
        <v>238480</v>
      </c>
      <c r="M16" s="150">
        <f t="shared" si="0"/>
        <v>0.16878162709225381</v>
      </c>
      <c r="O16" s="133" t="s">
        <v>1</v>
      </c>
      <c r="P16" s="212">
        <v>238480</v>
      </c>
      <c r="Q16" s="205">
        <v>50.0032</v>
      </c>
      <c r="R16" s="205">
        <v>60.375199999999992</v>
      </c>
      <c r="S16" s="205">
        <v>9.5367999999999995</v>
      </c>
      <c r="T16" s="205">
        <v>9.9736000000000011</v>
      </c>
      <c r="U16" s="205">
        <v>20.773600000000002</v>
      </c>
      <c r="V16" s="206">
        <v>24.783999999999999</v>
      </c>
    </row>
    <row r="17" spans="2:22">
      <c r="B17" s="125" t="s">
        <v>76</v>
      </c>
      <c r="C17" s="123">
        <f>COUNTA(Ressources!G61:G64)</f>
        <v>1</v>
      </c>
      <c r="D17" s="122">
        <f>COUNTA(Ressources!J61:J64)</f>
        <v>1</v>
      </c>
      <c r="E17" s="123">
        <f>COUNTA(Ressources!O61:O64)</f>
        <v>0</v>
      </c>
      <c r="F17" s="122">
        <f>COUNTA(Ressources!T61:T64)</f>
        <v>1</v>
      </c>
      <c r="G17" s="123">
        <f>COUNTA(Ressources!Y61:Y64)</f>
        <v>0</v>
      </c>
      <c r="H17" s="122">
        <f>COUNTA(Ressources!AD61:AD64)</f>
        <v>0</v>
      </c>
      <c r="I17" s="124">
        <f>COUNTA(Ressources!AI61:AI64)</f>
        <v>0</v>
      </c>
      <c r="J17" s="28">
        <f t="shared" si="1"/>
        <v>3</v>
      </c>
      <c r="L17" s="147">
        <f>SUM(Ressources!I61:I64)</f>
        <v>49500</v>
      </c>
      <c r="M17" s="150">
        <f t="shared" si="0"/>
        <v>3.5033086804203972E-2</v>
      </c>
      <c r="O17" s="125" t="s">
        <v>76</v>
      </c>
      <c r="P17" s="212">
        <v>49500</v>
      </c>
      <c r="Q17" s="205">
        <v>18.2</v>
      </c>
      <c r="R17" s="205">
        <v>0</v>
      </c>
      <c r="S17" s="205">
        <v>10</v>
      </c>
      <c r="T17" s="205">
        <v>0</v>
      </c>
      <c r="U17" s="205">
        <v>0</v>
      </c>
      <c r="V17" s="206">
        <v>0</v>
      </c>
    </row>
    <row r="18" spans="2:22" ht="15.75" thickBot="1">
      <c r="B18" s="115" t="s">
        <v>34</v>
      </c>
      <c r="C18" s="134">
        <f>COUNTA(Ressources!G65:G69)</f>
        <v>3</v>
      </c>
      <c r="D18" s="135">
        <f>COUNTA(Ressources!J65:J69)</f>
        <v>3</v>
      </c>
      <c r="E18" s="136">
        <f>COUNTA(Ressources!O65:O69)</f>
        <v>2</v>
      </c>
      <c r="F18" s="135">
        <f>COUNTA(Ressources!T65:T69)</f>
        <v>2</v>
      </c>
      <c r="G18" s="136">
        <f>COUNTA(Ressources!Y65:Y68)</f>
        <v>0</v>
      </c>
      <c r="H18" s="135">
        <f>COUNTA(Ressources!AD65:AD69)</f>
        <v>1</v>
      </c>
      <c r="I18" s="137">
        <f>COUNTA(Ressources!AI65:AI69)</f>
        <v>1</v>
      </c>
      <c r="J18" s="29">
        <f t="shared" si="1"/>
        <v>12</v>
      </c>
      <c r="L18" s="148">
        <f>SUM(Ressources!I65:I69)</f>
        <v>61600</v>
      </c>
      <c r="M18" s="151">
        <f t="shared" si="0"/>
        <v>4.3596730245231606E-2</v>
      </c>
      <c r="O18" s="308" t="s">
        <v>34</v>
      </c>
      <c r="P18" s="213">
        <v>61600</v>
      </c>
      <c r="Q18" s="207">
        <v>36</v>
      </c>
      <c r="R18" s="207">
        <v>28</v>
      </c>
      <c r="S18" s="207">
        <v>9</v>
      </c>
      <c r="T18" s="207">
        <v>4.5999999999999996</v>
      </c>
      <c r="U18" s="207">
        <v>6</v>
      </c>
      <c r="V18" s="208">
        <v>2</v>
      </c>
    </row>
    <row r="19" spans="2:22" ht="15.75" thickBot="1">
      <c r="B19" s="126" t="s">
        <v>73</v>
      </c>
      <c r="C19" s="67">
        <f>SUM(C3:C18)</f>
        <v>48</v>
      </c>
      <c r="D19" s="67">
        <f t="shared" ref="D19:I19" si="2">SUM(D3:D18)</f>
        <v>34</v>
      </c>
      <c r="E19" s="67">
        <f t="shared" si="2"/>
        <v>32</v>
      </c>
      <c r="F19" s="67">
        <f t="shared" si="2"/>
        <v>17</v>
      </c>
      <c r="G19" s="67">
        <f t="shared" si="2"/>
        <v>17</v>
      </c>
      <c r="H19" s="67">
        <f t="shared" si="2"/>
        <v>11</v>
      </c>
      <c r="I19" s="68">
        <f t="shared" si="2"/>
        <v>19</v>
      </c>
      <c r="L19">
        <f>SUM(L3:L18)</f>
        <v>1412950</v>
      </c>
      <c r="O19" s="129" t="s">
        <v>73</v>
      </c>
      <c r="P19" s="62" t="str">
        <f>CONCATENATE(TRUNC(SUM(P3:P18)/1000000,2)," M")</f>
        <v>1,41 M</v>
      </c>
      <c r="Q19" s="209">
        <f t="shared" ref="Q19:V19" si="3">TRUNC(SUM(Q3:Q18),0)</f>
        <v>508</v>
      </c>
      <c r="R19" s="209">
        <f t="shared" si="3"/>
        <v>527</v>
      </c>
      <c r="S19" s="209">
        <f t="shared" si="3"/>
        <v>116</v>
      </c>
      <c r="T19" s="209">
        <f t="shared" si="3"/>
        <v>129</v>
      </c>
      <c r="U19" s="209">
        <f t="shared" si="3"/>
        <v>90</v>
      </c>
      <c r="V19" s="210">
        <f t="shared" si="3"/>
        <v>125</v>
      </c>
    </row>
    <row r="20" spans="2:22">
      <c r="B20" s="30" t="s">
        <v>79</v>
      </c>
      <c r="C20" s="30">
        <f>COUNTIF(Cartographie!1:1048576,"O")</f>
        <v>170</v>
      </c>
      <c r="D20" s="30">
        <f>COUNTIF(Cartographie!1:1048576,"B")</f>
        <v>232</v>
      </c>
      <c r="E20" s="30">
        <f>COUNTIF(Cartographie!1:1048576,"Mi")</f>
        <v>223</v>
      </c>
      <c r="F20" s="30">
        <f>COUNTIF(Cartographie!1:1048576,"Me")</f>
        <v>220</v>
      </c>
      <c r="G20" s="30">
        <f>COUNTIF(Cartographie!1:1048576,"C")</f>
        <v>213</v>
      </c>
      <c r="H20" s="30">
        <f>COUNTIF(Cartographie!1:1048576,"S")</f>
        <v>238</v>
      </c>
      <c r="I20" s="30">
        <f>COUNTIF(Cartographie!1:1048576,"G")</f>
        <v>216</v>
      </c>
      <c r="J20" s="138">
        <f>SUM(C20:I20)</f>
        <v>1512</v>
      </c>
      <c r="K20">
        <f>J20/4</f>
        <v>378</v>
      </c>
      <c r="O20" s="332">
        <f>COUNTA(O3:O18)</f>
        <v>16</v>
      </c>
    </row>
    <row r="21" spans="2:22">
      <c r="C21" s="153">
        <f>C20/$J$20</f>
        <v>0.11243386243386243</v>
      </c>
      <c r="D21" s="153">
        <f t="shared" ref="D21:I21" si="4">D20/$J$20</f>
        <v>0.15343915343915343</v>
      </c>
      <c r="E21" s="153">
        <f t="shared" si="4"/>
        <v>0.1474867724867725</v>
      </c>
      <c r="F21" s="153">
        <f t="shared" si="4"/>
        <v>0.14550264550264549</v>
      </c>
      <c r="G21" s="153">
        <f t="shared" si="4"/>
        <v>0.14087301587301587</v>
      </c>
      <c r="H21" s="153">
        <f t="shared" si="4"/>
        <v>0.15740740740740741</v>
      </c>
      <c r="I21" s="153">
        <f t="shared" si="4"/>
        <v>0.14285714285714285</v>
      </c>
      <c r="J21" s="297"/>
      <c r="L21" t="s">
        <v>141</v>
      </c>
      <c r="M21" s="235">
        <f>M11+M16</f>
        <v>0.32946671856753601</v>
      </c>
      <c r="O21" s="33" t="s">
        <v>141</v>
      </c>
      <c r="P21" s="236">
        <f>(P16+P11)/SUM(P3:P18)</f>
        <v>0.32946671856753601</v>
      </c>
      <c r="Q21" s="236">
        <f>(Q16+Q11)/Q19</f>
        <v>0.20823307086614173</v>
      </c>
      <c r="R21" s="236">
        <f t="shared" ref="R21:V21" si="5">(R16+R11)/R19</f>
        <v>0.25825730550284626</v>
      </c>
      <c r="S21" s="236">
        <f t="shared" si="5"/>
        <v>0.16819310344827587</v>
      </c>
      <c r="T21" s="236">
        <f t="shared" si="5"/>
        <v>0.25928062015503878</v>
      </c>
      <c r="U21" s="236">
        <f t="shared" si="5"/>
        <v>0.23081777777777779</v>
      </c>
      <c r="V21" s="236">
        <f t="shared" si="5"/>
        <v>0.30787199999999998</v>
      </c>
    </row>
    <row r="22" spans="2:22">
      <c r="P22" s="333"/>
      <c r="Q22" s="399">
        <f>(SUM(Q11:R11)+SUM(Q16:R16))/SUM(Q19:R19)</f>
        <v>0.23370434782608698</v>
      </c>
      <c r="R22" s="399"/>
      <c r="S22" s="399">
        <f>(SUM(S11:V11)+SUM(S16:V16))/SUM(S19:V19)</f>
        <v>0.24394608695652176</v>
      </c>
      <c r="T22" s="399"/>
      <c r="U22" s="399"/>
      <c r="V22" s="399"/>
    </row>
    <row r="25" spans="2:22">
      <c r="C25" s="30" t="s">
        <v>82</v>
      </c>
      <c r="D25" s="30" t="s">
        <v>69</v>
      </c>
      <c r="E25" s="30" t="s">
        <v>124</v>
      </c>
      <c r="F25" s="30" t="s">
        <v>67</v>
      </c>
    </row>
    <row r="26" spans="2:22">
      <c r="C26" s="30">
        <f>COUNTIF(Ressources!E:E,"Necro")</f>
        <v>9</v>
      </c>
      <c r="D26" s="30">
        <f>COUNTIF(Ressources!C:E,"Academy")</f>
        <v>13</v>
      </c>
      <c r="E26" s="30">
        <f>COUNTIF(Ressources!D:F,"Inferno")</f>
        <v>3</v>
      </c>
      <c r="F26" s="30">
        <f>COUNTIF(Ressources!E:G,"Havre")</f>
        <v>26</v>
      </c>
      <c r="G26" s="30">
        <f>SUM(C26:F26)</f>
        <v>51</v>
      </c>
    </row>
    <row r="27" spans="2:22">
      <c r="C27" s="153">
        <f>C26/$G$26</f>
        <v>0.17647058823529413</v>
      </c>
      <c r="D27" s="153">
        <f t="shared" ref="D27:F27" si="6">D26/$G$26</f>
        <v>0.25490196078431371</v>
      </c>
      <c r="E27" s="153">
        <f t="shared" si="6"/>
        <v>5.8823529411764705E-2</v>
      </c>
      <c r="F27" s="153">
        <f t="shared" si="6"/>
        <v>0.50980392156862742</v>
      </c>
    </row>
  </sheetData>
  <sortState ref="O3:V18">
    <sortCondition ref="P3"/>
  </sortState>
  <mergeCells count="4">
    <mergeCell ref="O1:V1"/>
    <mergeCell ref="B1:J1"/>
    <mergeCell ref="S22:V22"/>
    <mergeCell ref="Q22:R22"/>
  </mergeCells>
  <conditionalFormatting sqref="C2:C1048576 A1:A1048576 B1:B24 B26:B1048576 L20:N1048576 L1:N2 D21:D1048576 F2:G24 E2:E1048576 F26:G1048576 F25 K1:O1 D27:F27 O1:O1048576 P2 P19:P1048576 W1:XFD1048576 K1:K1048576 D2:D19 D20:I21 C10:I10 H2:J1048576 Q24:V1048576 Q2:V22">
    <cfRule type="cellIs" dxfId="29" priority="1" operator="equal">
      <formula>0</formula>
    </cfRule>
  </conditionalFormatting>
  <pageMargins left="0.7" right="0.7" top="0.75" bottom="0.75" header="0.3" footer="0.3"/>
  <pageSetup paperSize="9" orientation="portrait" horizontalDpi="300" verticalDpi="0" copies="0" r:id="rId1"/>
  <ignoredErrors>
    <ignoredError sqref="F18:G18 C3:C7 D3:I7 C11:I17 C8:I9 C10:G10 Q22:V22"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D19" activePane="bottomRight" state="frozen"/>
      <selection pane="topRight" activeCell="D1" sqref="D1"/>
      <selection pane="bottomLeft" activeCell="A4" sqref="A4"/>
      <selection pane="bottomRight" activeCell="B2" sqref="B2:CO63"/>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29"/>
      <c r="C2" s="430"/>
      <c r="D2" s="400">
        <v>239</v>
      </c>
      <c r="E2" s="401"/>
      <c r="F2" s="400">
        <v>240</v>
      </c>
      <c r="G2" s="401"/>
      <c r="H2" s="400">
        <v>241</v>
      </c>
      <c r="I2" s="401"/>
      <c r="J2" s="400">
        <v>242</v>
      </c>
      <c r="K2" s="401"/>
      <c r="L2" s="400">
        <v>243</v>
      </c>
      <c r="M2" s="401"/>
      <c r="N2" s="400">
        <v>244</v>
      </c>
      <c r="O2" s="401"/>
      <c r="P2" s="425">
        <v>245</v>
      </c>
      <c r="Q2" s="426"/>
      <c r="R2" s="425">
        <v>246</v>
      </c>
      <c r="S2" s="426"/>
      <c r="T2" s="425">
        <v>247</v>
      </c>
      <c r="U2" s="426"/>
      <c r="V2" s="425">
        <v>248</v>
      </c>
      <c r="W2" s="426"/>
      <c r="X2" s="400">
        <v>249</v>
      </c>
      <c r="Y2" s="401"/>
      <c r="Z2" s="400">
        <v>250</v>
      </c>
      <c r="AA2" s="401"/>
      <c r="AB2" s="400">
        <v>251</v>
      </c>
      <c r="AC2" s="401"/>
      <c r="AD2" s="400">
        <v>252</v>
      </c>
      <c r="AE2" s="401"/>
      <c r="AF2" s="400">
        <v>253</v>
      </c>
      <c r="AG2" s="401"/>
      <c r="AH2" s="400">
        <v>254</v>
      </c>
      <c r="AI2" s="401"/>
      <c r="AJ2" s="400">
        <v>255</v>
      </c>
      <c r="AK2" s="401"/>
      <c r="AL2" s="400">
        <v>256</v>
      </c>
      <c r="AM2" s="401"/>
      <c r="AN2" s="400">
        <v>257</v>
      </c>
      <c r="AO2" s="401"/>
      <c r="AP2" s="400">
        <v>258</v>
      </c>
      <c r="AQ2" s="401"/>
      <c r="AR2" s="400">
        <v>259</v>
      </c>
      <c r="AS2" s="401"/>
      <c r="AT2" s="400">
        <v>260</v>
      </c>
      <c r="AU2" s="401"/>
      <c r="AV2" s="400">
        <v>261</v>
      </c>
      <c r="AW2" s="401"/>
      <c r="AX2" s="400">
        <v>262</v>
      </c>
      <c r="AY2" s="401"/>
      <c r="AZ2" s="400">
        <v>263</v>
      </c>
      <c r="BA2" s="401"/>
      <c r="BB2" s="400">
        <v>264</v>
      </c>
      <c r="BC2" s="401"/>
      <c r="BD2" s="400">
        <v>265</v>
      </c>
      <c r="BE2" s="401"/>
      <c r="BF2" s="400">
        <v>266</v>
      </c>
      <c r="BG2" s="401"/>
      <c r="BH2" s="400">
        <v>267</v>
      </c>
      <c r="BI2" s="401"/>
      <c r="BJ2" s="400">
        <v>268</v>
      </c>
      <c r="BK2" s="401"/>
      <c r="BL2" s="400">
        <v>269</v>
      </c>
      <c r="BM2" s="401"/>
      <c r="BN2" s="400">
        <v>270</v>
      </c>
      <c r="BO2" s="401"/>
      <c r="BP2" s="400">
        <v>271</v>
      </c>
      <c r="BQ2" s="401"/>
      <c r="BR2" s="400">
        <v>272</v>
      </c>
      <c r="BS2" s="401"/>
      <c r="BT2" s="400">
        <v>273</v>
      </c>
      <c r="BU2" s="401"/>
      <c r="BV2" s="400">
        <v>274</v>
      </c>
      <c r="BW2" s="401"/>
      <c r="BX2" s="400">
        <v>275</v>
      </c>
      <c r="BY2" s="401"/>
      <c r="BZ2" s="400">
        <v>276</v>
      </c>
      <c r="CA2" s="401"/>
      <c r="CB2" s="400">
        <v>277</v>
      </c>
      <c r="CC2" s="401"/>
      <c r="CD2" s="400">
        <v>278</v>
      </c>
      <c r="CE2" s="401"/>
      <c r="CF2" s="400">
        <v>279</v>
      </c>
      <c r="CG2" s="401"/>
      <c r="CH2" s="400">
        <v>280</v>
      </c>
      <c r="CI2" s="401"/>
      <c r="CJ2" s="400">
        <v>281</v>
      </c>
      <c r="CK2" s="401"/>
      <c r="CL2" s="400">
        <v>282</v>
      </c>
      <c r="CM2" s="401"/>
      <c r="CN2" s="400">
        <v>283</v>
      </c>
      <c r="CO2" s="401"/>
    </row>
    <row r="3" spans="1:93" s="25" customFormat="1" ht="18.75" customHeight="1" thickBot="1">
      <c r="A3" s="285"/>
      <c r="B3" s="406"/>
      <c r="C3" s="407"/>
      <c r="D3" s="402"/>
      <c r="E3" s="403"/>
      <c r="F3" s="402"/>
      <c r="G3" s="403"/>
      <c r="H3" s="402"/>
      <c r="I3" s="403"/>
      <c r="J3" s="402"/>
      <c r="K3" s="403"/>
      <c r="L3" s="402"/>
      <c r="M3" s="403"/>
      <c r="N3" s="402"/>
      <c r="O3" s="403"/>
      <c r="P3" s="427"/>
      <c r="Q3" s="428"/>
      <c r="R3" s="427"/>
      <c r="S3" s="428"/>
      <c r="T3" s="427"/>
      <c r="U3" s="428"/>
      <c r="V3" s="427"/>
      <c r="W3" s="428"/>
      <c r="X3" s="402"/>
      <c r="Y3" s="403"/>
      <c r="Z3" s="402"/>
      <c r="AA3" s="403"/>
      <c r="AB3" s="402"/>
      <c r="AC3" s="403"/>
      <c r="AD3" s="402"/>
      <c r="AE3" s="403"/>
      <c r="AF3" s="402"/>
      <c r="AG3" s="403"/>
      <c r="AH3" s="402"/>
      <c r="AI3" s="403"/>
      <c r="AJ3" s="402"/>
      <c r="AK3" s="403"/>
      <c r="AL3" s="402"/>
      <c r="AM3" s="403"/>
      <c r="AN3" s="402"/>
      <c r="AO3" s="403"/>
      <c r="AP3" s="402"/>
      <c r="AQ3" s="403"/>
      <c r="AR3" s="402"/>
      <c r="AS3" s="403"/>
      <c r="AT3" s="402"/>
      <c r="AU3" s="403"/>
      <c r="AV3" s="402"/>
      <c r="AW3" s="403"/>
      <c r="AX3" s="402"/>
      <c r="AY3" s="403"/>
      <c r="AZ3" s="402"/>
      <c r="BA3" s="403"/>
      <c r="BB3" s="402"/>
      <c r="BC3" s="403"/>
      <c r="BD3" s="402"/>
      <c r="BE3" s="403"/>
      <c r="BF3" s="402"/>
      <c r="BG3" s="403"/>
      <c r="BH3" s="402"/>
      <c r="BI3" s="403"/>
      <c r="BJ3" s="402"/>
      <c r="BK3" s="403"/>
      <c r="BL3" s="402"/>
      <c r="BM3" s="403"/>
      <c r="BN3" s="402"/>
      <c r="BO3" s="403"/>
      <c r="BP3" s="402"/>
      <c r="BQ3" s="403"/>
      <c r="BR3" s="402"/>
      <c r="BS3" s="403"/>
      <c r="BT3" s="402"/>
      <c r="BU3" s="403"/>
      <c r="BV3" s="402"/>
      <c r="BW3" s="403"/>
      <c r="BX3" s="402"/>
      <c r="BY3" s="403"/>
      <c r="BZ3" s="402"/>
      <c r="CA3" s="403"/>
      <c r="CB3" s="402"/>
      <c r="CC3" s="403"/>
      <c r="CD3" s="402"/>
      <c r="CE3" s="403"/>
      <c r="CF3" s="402"/>
      <c r="CG3" s="403"/>
      <c r="CH3" s="402"/>
      <c r="CI3" s="403"/>
      <c r="CJ3" s="402"/>
      <c r="CK3" s="403"/>
      <c r="CL3" s="402"/>
      <c r="CM3" s="403"/>
      <c r="CN3" s="402"/>
      <c r="CO3" s="403"/>
    </row>
    <row r="4" spans="1:93" ht="18.75" customHeight="1">
      <c r="A4" s="285">
        <v>75</v>
      </c>
      <c r="B4" s="404">
        <v>75</v>
      </c>
      <c r="C4" s="405"/>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06"/>
      <c r="C5" s="407"/>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04">
        <v>74</v>
      </c>
      <c r="C6" s="405"/>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480" t="s">
        <v>103</v>
      </c>
      <c r="AM6" s="481"/>
      <c r="AN6" s="26" t="s">
        <v>58</v>
      </c>
      <c r="AO6" s="26" t="s">
        <v>56</v>
      </c>
      <c r="AP6" s="101" t="s">
        <v>54</v>
      </c>
      <c r="AQ6" s="102" t="s">
        <v>60</v>
      </c>
      <c r="AR6" s="453"/>
      <c r="AS6" s="454"/>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06"/>
      <c r="C7" s="407"/>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482"/>
      <c r="AM7" s="483"/>
      <c r="AN7" s="26" t="s">
        <v>57</v>
      </c>
      <c r="AO7" s="26" t="s">
        <v>57</v>
      </c>
      <c r="AP7" s="101" t="s">
        <v>57</v>
      </c>
      <c r="AQ7" s="102" t="s">
        <v>55</v>
      </c>
      <c r="AR7" s="455"/>
      <c r="AS7" s="456"/>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04">
        <v>73</v>
      </c>
      <c r="C8" s="405"/>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437"/>
      <c r="AQ8" s="438"/>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06"/>
      <c r="C9" s="407"/>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439"/>
      <c r="AQ9" s="440"/>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04">
        <v>72</v>
      </c>
      <c r="C10" s="405"/>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476" t="s">
        <v>30</v>
      </c>
      <c r="AQ10" s="477"/>
      <c r="AR10" s="26" t="s">
        <v>58</v>
      </c>
      <c r="AS10" s="26" t="s">
        <v>60</v>
      </c>
      <c r="AT10" s="101"/>
      <c r="AU10" s="102"/>
      <c r="AV10" s="26"/>
      <c r="AW10" s="26"/>
      <c r="AX10" s="101"/>
      <c r="AY10" s="102"/>
      <c r="AZ10" s="26"/>
      <c r="BA10" s="26"/>
      <c r="BB10" s="101"/>
      <c r="BC10" s="102"/>
      <c r="BD10" s="26" t="s">
        <v>54</v>
      </c>
      <c r="BE10" s="26" t="s">
        <v>55</v>
      </c>
      <c r="BF10" s="101"/>
      <c r="BG10" s="102"/>
      <c r="BH10" s="449" t="s">
        <v>89</v>
      </c>
      <c r="BI10" s="450"/>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06"/>
      <c r="C11" s="407"/>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478"/>
      <c r="AQ11" s="479"/>
      <c r="AR11" s="26" t="s">
        <v>57</v>
      </c>
      <c r="AS11" s="26" t="s">
        <v>57</v>
      </c>
      <c r="AT11" s="101"/>
      <c r="AU11" s="102"/>
      <c r="AV11" s="26"/>
      <c r="AW11" s="26"/>
      <c r="AX11" s="101"/>
      <c r="AY11" s="102"/>
      <c r="AZ11" s="26"/>
      <c r="BA11" s="26"/>
      <c r="BB11" s="101"/>
      <c r="BC11" s="102"/>
      <c r="BD11" s="26" t="s">
        <v>59</v>
      </c>
      <c r="BE11" s="26" t="s">
        <v>59</v>
      </c>
      <c r="BF11" s="101"/>
      <c r="BG11" s="102"/>
      <c r="BH11" s="451"/>
      <c r="BI11" s="452"/>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04">
        <v>71</v>
      </c>
      <c r="C12" s="405"/>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31" t="s">
        <v>71</v>
      </c>
      <c r="AK12" s="432"/>
      <c r="AL12" s="99" t="s">
        <v>54</v>
      </c>
      <c r="AM12" s="100" t="s">
        <v>60</v>
      </c>
      <c r="AN12" s="423"/>
      <c r="AO12" s="423"/>
      <c r="AP12" s="437"/>
      <c r="AQ12" s="438"/>
      <c r="AR12" s="105" t="s">
        <v>54</v>
      </c>
      <c r="AS12" s="105" t="s">
        <v>58</v>
      </c>
      <c r="AT12" s="423"/>
      <c r="AU12" s="423"/>
      <c r="AV12" s="457"/>
      <c r="AW12" s="458"/>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06"/>
      <c r="C13" s="407"/>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33"/>
      <c r="AK13" s="433"/>
      <c r="AL13" s="103" t="s">
        <v>58</v>
      </c>
      <c r="AM13" s="104" t="s">
        <v>57</v>
      </c>
      <c r="AN13" s="424"/>
      <c r="AO13" s="424"/>
      <c r="AP13" s="439"/>
      <c r="AQ13" s="440"/>
      <c r="AR13" s="106" t="s">
        <v>56</v>
      </c>
      <c r="AS13" s="106" t="s">
        <v>59</v>
      </c>
      <c r="AT13" s="424"/>
      <c r="AU13" s="424"/>
      <c r="AV13" s="459"/>
      <c r="AW13" s="460"/>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04">
        <v>70</v>
      </c>
      <c r="C14" s="405"/>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449" t="s">
        <v>104</v>
      </c>
      <c r="AE14" s="450"/>
      <c r="AF14" s="26"/>
      <c r="AG14" s="26"/>
      <c r="AH14" s="101" t="s">
        <v>56</v>
      </c>
      <c r="AI14" s="102" t="s">
        <v>56</v>
      </c>
      <c r="AJ14" s="434" t="s">
        <v>61</v>
      </c>
      <c r="AK14" s="434"/>
      <c r="AL14" s="101" t="s">
        <v>54</v>
      </c>
      <c r="AM14" s="102" t="s">
        <v>56</v>
      </c>
      <c r="AN14" s="26" t="s">
        <v>56</v>
      </c>
      <c r="AO14" s="26" t="s">
        <v>56</v>
      </c>
      <c r="AP14" s="101" t="s">
        <v>58</v>
      </c>
      <c r="AQ14" s="102" t="s">
        <v>60</v>
      </c>
      <c r="AR14" s="26" t="s">
        <v>58</v>
      </c>
      <c r="AS14" s="26" t="s">
        <v>60</v>
      </c>
      <c r="AT14" s="101" t="s">
        <v>60</v>
      </c>
      <c r="AU14" s="102" t="s">
        <v>57</v>
      </c>
      <c r="AV14" s="484" t="s">
        <v>86</v>
      </c>
      <c r="AW14" s="485"/>
      <c r="AX14" s="101"/>
      <c r="AY14" s="102"/>
      <c r="AZ14" s="484" t="s">
        <v>85</v>
      </c>
      <c r="BA14" s="485"/>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06"/>
      <c r="C15" s="407"/>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451"/>
      <c r="AE15" s="452"/>
      <c r="AF15" s="26"/>
      <c r="AG15" s="26"/>
      <c r="AH15" s="101" t="s">
        <v>59</v>
      </c>
      <c r="AI15" s="102" t="s">
        <v>55</v>
      </c>
      <c r="AJ15" s="434"/>
      <c r="AK15" s="434"/>
      <c r="AL15" s="101" t="s">
        <v>57</v>
      </c>
      <c r="AM15" s="102" t="s">
        <v>59</v>
      </c>
      <c r="AN15" s="26" t="s">
        <v>59</v>
      </c>
      <c r="AO15" s="26" t="s">
        <v>57</v>
      </c>
      <c r="AP15" s="101" t="s">
        <v>56</v>
      </c>
      <c r="AQ15" s="102" t="s">
        <v>56</v>
      </c>
      <c r="AR15" s="26" t="s">
        <v>55</v>
      </c>
      <c r="AS15" s="26" t="s">
        <v>56</v>
      </c>
      <c r="AT15" s="101" t="s">
        <v>59</v>
      </c>
      <c r="AU15" s="102" t="s">
        <v>56</v>
      </c>
      <c r="AV15" s="486"/>
      <c r="AW15" s="486"/>
      <c r="AX15" s="101"/>
      <c r="AY15" s="102"/>
      <c r="AZ15" s="486"/>
      <c r="BA15" s="486"/>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04">
        <v>69</v>
      </c>
      <c r="C16" s="405"/>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73" t="s">
        <v>40</v>
      </c>
      <c r="AO16" s="473"/>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449" t="s">
        <v>90</v>
      </c>
      <c r="BS16" s="450"/>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06"/>
      <c r="C17" s="407"/>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74"/>
      <c r="AO17" s="474"/>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451"/>
      <c r="BS17" s="452"/>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04">
        <v>68</v>
      </c>
      <c r="C18" s="405"/>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422"/>
      <c r="AS18" s="422"/>
      <c r="AT18" s="101" t="s">
        <v>56</v>
      </c>
      <c r="AU18" s="102" t="s">
        <v>59</v>
      </c>
      <c r="AV18" s="26" t="s">
        <v>59</v>
      </c>
      <c r="AW18" s="26" t="s">
        <v>59</v>
      </c>
      <c r="AX18" s="101" t="s">
        <v>54</v>
      </c>
      <c r="AY18" s="102" t="s">
        <v>58</v>
      </c>
      <c r="AZ18" s="26" t="s">
        <v>54</v>
      </c>
      <c r="BA18" s="26" t="s">
        <v>56</v>
      </c>
      <c r="BB18" s="420" t="s">
        <v>3</v>
      </c>
      <c r="BC18" s="421"/>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06"/>
      <c r="C19" s="407"/>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422"/>
      <c r="AS19" s="422"/>
      <c r="AT19" s="101" t="s">
        <v>57</v>
      </c>
      <c r="AU19" s="102" t="s">
        <v>58</v>
      </c>
      <c r="AV19" s="26" t="s">
        <v>56</v>
      </c>
      <c r="AW19" s="26" t="s">
        <v>55</v>
      </c>
      <c r="AX19" s="101" t="s">
        <v>59</v>
      </c>
      <c r="AY19" s="102" t="s">
        <v>55</v>
      </c>
      <c r="AZ19" s="26" t="s">
        <v>55</v>
      </c>
      <c r="BA19" s="26" t="s">
        <v>55</v>
      </c>
      <c r="BB19" s="420"/>
      <c r="BC19" s="421"/>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04">
        <v>67</v>
      </c>
      <c r="C20" s="405"/>
      <c r="D20" s="105"/>
      <c r="E20" s="100"/>
      <c r="F20" s="105"/>
      <c r="G20" s="100"/>
      <c r="H20" s="105"/>
      <c r="I20" s="100"/>
      <c r="J20" s="105"/>
      <c r="K20" s="100"/>
      <c r="L20" s="105" t="s">
        <v>54</v>
      </c>
      <c r="M20" s="105" t="s">
        <v>60</v>
      </c>
      <c r="N20" s="437"/>
      <c r="O20" s="438"/>
      <c r="P20" s="105"/>
      <c r="Q20" s="105"/>
      <c r="R20" s="99"/>
      <c r="S20" s="100"/>
      <c r="T20" s="105"/>
      <c r="U20" s="105"/>
      <c r="V20" s="99"/>
      <c r="W20" s="100"/>
      <c r="X20" s="105"/>
      <c r="Y20" s="105"/>
      <c r="Z20" s="99" t="s">
        <v>58</v>
      </c>
      <c r="AA20" s="100" t="s">
        <v>60</v>
      </c>
      <c r="AB20" s="431" t="s">
        <v>36</v>
      </c>
      <c r="AC20" s="432"/>
      <c r="AD20" s="99" t="s">
        <v>54</v>
      </c>
      <c r="AE20" s="100" t="s">
        <v>60</v>
      </c>
      <c r="AF20" s="105" t="s">
        <v>59</v>
      </c>
      <c r="AG20" s="105" t="s">
        <v>59</v>
      </c>
      <c r="AH20" s="99" t="s">
        <v>54</v>
      </c>
      <c r="AI20" s="100" t="s">
        <v>59</v>
      </c>
      <c r="AJ20" s="105" t="s">
        <v>58</v>
      </c>
      <c r="AK20" s="105" t="s">
        <v>58</v>
      </c>
      <c r="AL20" s="413" t="s">
        <v>39</v>
      </c>
      <c r="AM20" s="414"/>
      <c r="AN20" s="105" t="s">
        <v>59</v>
      </c>
      <c r="AO20" s="105" t="s">
        <v>55</v>
      </c>
      <c r="AP20" s="99" t="s">
        <v>54</v>
      </c>
      <c r="AQ20" s="100" t="s">
        <v>60</v>
      </c>
      <c r="AR20" s="105" t="s">
        <v>54</v>
      </c>
      <c r="AS20" s="105" t="s">
        <v>55</v>
      </c>
      <c r="AT20" s="413" t="s">
        <v>50</v>
      </c>
      <c r="AU20" s="414"/>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449" t="s">
        <v>88</v>
      </c>
      <c r="BO20" s="450"/>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06"/>
      <c r="C21" s="407"/>
      <c r="D21" s="106"/>
      <c r="E21" s="104"/>
      <c r="F21" s="106"/>
      <c r="G21" s="104"/>
      <c r="H21" s="106"/>
      <c r="I21" s="104"/>
      <c r="J21" s="106"/>
      <c r="K21" s="104"/>
      <c r="L21" s="106" t="s">
        <v>55</v>
      </c>
      <c r="M21" s="106" t="s">
        <v>56</v>
      </c>
      <c r="N21" s="439"/>
      <c r="O21" s="440"/>
      <c r="P21" s="106"/>
      <c r="Q21" s="106"/>
      <c r="R21" s="103"/>
      <c r="S21" s="104"/>
      <c r="T21" s="106"/>
      <c r="U21" s="106"/>
      <c r="V21" s="103"/>
      <c r="W21" s="104"/>
      <c r="X21" s="106"/>
      <c r="Y21" s="106"/>
      <c r="Z21" s="103" t="s">
        <v>59</v>
      </c>
      <c r="AA21" s="104" t="s">
        <v>55</v>
      </c>
      <c r="AB21" s="409"/>
      <c r="AC21" s="409"/>
      <c r="AD21" s="103" t="s">
        <v>55</v>
      </c>
      <c r="AE21" s="104" t="s">
        <v>60</v>
      </c>
      <c r="AF21" s="106" t="s">
        <v>57</v>
      </c>
      <c r="AG21" s="106" t="s">
        <v>54</v>
      </c>
      <c r="AH21" s="103" t="s">
        <v>55</v>
      </c>
      <c r="AI21" s="104" t="s">
        <v>57</v>
      </c>
      <c r="AJ21" s="106" t="s">
        <v>56</v>
      </c>
      <c r="AK21" s="106" t="s">
        <v>57</v>
      </c>
      <c r="AL21" s="415"/>
      <c r="AM21" s="416"/>
      <c r="AN21" s="106" t="s">
        <v>57</v>
      </c>
      <c r="AO21" s="106" t="s">
        <v>58</v>
      </c>
      <c r="AP21" s="103" t="s">
        <v>60</v>
      </c>
      <c r="AQ21" s="104" t="s">
        <v>57</v>
      </c>
      <c r="AR21" s="106" t="s">
        <v>55</v>
      </c>
      <c r="AS21" s="106" t="s">
        <v>57</v>
      </c>
      <c r="AT21" s="415"/>
      <c r="AU21" s="416"/>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451"/>
      <c r="BO21" s="452"/>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04">
        <v>66</v>
      </c>
      <c r="C22" s="405"/>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413" t="s">
        <v>72</v>
      </c>
      <c r="AC22" s="417"/>
      <c r="AD22" s="101" t="s">
        <v>58</v>
      </c>
      <c r="AE22" s="102" t="s">
        <v>58</v>
      </c>
      <c r="AF22" s="408" t="s">
        <v>31</v>
      </c>
      <c r="AG22" s="409"/>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75" t="s">
        <v>43</v>
      </c>
      <c r="AW22" s="475"/>
      <c r="AX22" s="101" t="s">
        <v>55</v>
      </c>
      <c r="AY22" s="102" t="s">
        <v>57</v>
      </c>
      <c r="AZ22" s="26" t="s">
        <v>54</v>
      </c>
      <c r="BA22" s="26" t="s">
        <v>57</v>
      </c>
      <c r="BB22" s="420" t="s">
        <v>17</v>
      </c>
      <c r="BC22" s="421"/>
      <c r="BD22" s="26" t="s">
        <v>60</v>
      </c>
      <c r="BE22" s="26" t="s">
        <v>60</v>
      </c>
      <c r="BF22" s="101" t="s">
        <v>58</v>
      </c>
      <c r="BG22" s="102" t="s">
        <v>55</v>
      </c>
      <c r="BH22" s="26"/>
      <c r="BI22" s="26"/>
      <c r="BJ22" s="101"/>
      <c r="BK22" s="102"/>
      <c r="BL22" s="445" t="s">
        <v>87</v>
      </c>
      <c r="BM22" s="446"/>
      <c r="BN22" s="101"/>
      <c r="BO22" s="102"/>
      <c r="BP22" s="26"/>
      <c r="BQ22" s="26"/>
      <c r="BR22" s="101" t="s">
        <v>60</v>
      </c>
      <c r="BS22" s="102" t="s">
        <v>55</v>
      </c>
      <c r="BT22" s="26" t="s">
        <v>58</v>
      </c>
      <c r="BU22" s="26" t="s">
        <v>60</v>
      </c>
      <c r="BV22" s="457"/>
      <c r="BW22" s="458"/>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06"/>
      <c r="C23" s="407"/>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418"/>
      <c r="AC23" s="419"/>
      <c r="AD23" s="101" t="s">
        <v>59</v>
      </c>
      <c r="AE23" s="102" t="s">
        <v>56</v>
      </c>
      <c r="AF23" s="409"/>
      <c r="AG23" s="409"/>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75"/>
      <c r="AW23" s="475"/>
      <c r="AX23" s="101" t="s">
        <v>60</v>
      </c>
      <c r="AY23" s="102" t="s">
        <v>59</v>
      </c>
      <c r="AZ23" s="26" t="s">
        <v>58</v>
      </c>
      <c r="BA23" s="26" t="s">
        <v>60</v>
      </c>
      <c r="BB23" s="420"/>
      <c r="BC23" s="421"/>
      <c r="BD23" s="26" t="s">
        <v>55</v>
      </c>
      <c r="BE23" s="26" t="s">
        <v>56</v>
      </c>
      <c r="BF23" s="101" t="s">
        <v>59</v>
      </c>
      <c r="BG23" s="102" t="s">
        <v>54</v>
      </c>
      <c r="BH23" s="26"/>
      <c r="BI23" s="26"/>
      <c r="BJ23" s="101"/>
      <c r="BK23" s="102"/>
      <c r="BL23" s="447"/>
      <c r="BM23" s="448"/>
      <c r="BN23" s="101"/>
      <c r="BO23" s="102"/>
      <c r="BP23" s="26"/>
      <c r="BQ23" s="26"/>
      <c r="BR23" s="101" t="s">
        <v>56</v>
      </c>
      <c r="BS23" s="102" t="s">
        <v>56</v>
      </c>
      <c r="BT23" s="26" t="s">
        <v>57</v>
      </c>
      <c r="BU23" s="26" t="s">
        <v>56</v>
      </c>
      <c r="BV23" s="459"/>
      <c r="BW23" s="460"/>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04">
        <v>65</v>
      </c>
      <c r="C24" s="405"/>
      <c r="D24" s="105"/>
      <c r="E24" s="100"/>
      <c r="F24" s="105"/>
      <c r="G24" s="100"/>
      <c r="H24" s="105"/>
      <c r="I24" s="100"/>
      <c r="J24" s="105"/>
      <c r="K24" s="100"/>
      <c r="L24" s="105" t="s">
        <v>60</v>
      </c>
      <c r="M24" s="105" t="s">
        <v>59</v>
      </c>
      <c r="N24" s="413" t="s">
        <v>125</v>
      </c>
      <c r="O24" s="417"/>
      <c r="P24" s="105" t="s">
        <v>60</v>
      </c>
      <c r="Q24" s="105" t="s">
        <v>55</v>
      </c>
      <c r="R24" s="99" t="s">
        <v>58</v>
      </c>
      <c r="S24" s="100" t="s">
        <v>55</v>
      </c>
      <c r="T24" s="423"/>
      <c r="U24" s="423"/>
      <c r="V24" s="99" t="s">
        <v>60</v>
      </c>
      <c r="W24" s="100" t="s">
        <v>55</v>
      </c>
      <c r="X24" s="105" t="s">
        <v>58</v>
      </c>
      <c r="Y24" s="105" t="s">
        <v>60</v>
      </c>
      <c r="Z24" s="413" t="s">
        <v>35</v>
      </c>
      <c r="AA24" s="414"/>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31" t="s">
        <v>47</v>
      </c>
      <c r="AS24" s="432"/>
      <c r="AT24" s="99" t="s">
        <v>54</v>
      </c>
      <c r="AU24" s="100" t="s">
        <v>55</v>
      </c>
      <c r="AV24" s="466" t="s">
        <v>2</v>
      </c>
      <c r="AW24" s="466"/>
      <c r="AX24" s="99" t="s">
        <v>57</v>
      </c>
      <c r="AY24" s="100" t="s">
        <v>58</v>
      </c>
      <c r="AZ24" s="105" t="s">
        <v>54</v>
      </c>
      <c r="BA24" s="105" t="s">
        <v>58</v>
      </c>
      <c r="BB24" s="99" t="s">
        <v>60</v>
      </c>
      <c r="BC24" s="100" t="s">
        <v>59</v>
      </c>
      <c r="BD24" s="461" t="s">
        <v>12</v>
      </c>
      <c r="BE24" s="461"/>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476" t="s">
        <v>24</v>
      </c>
      <c r="BU24" s="477"/>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06"/>
      <c r="C25" s="407"/>
      <c r="D25" s="106"/>
      <c r="E25" s="104"/>
      <c r="F25" s="106"/>
      <c r="G25" s="104"/>
      <c r="H25" s="106"/>
      <c r="I25" s="104"/>
      <c r="J25" s="106"/>
      <c r="K25" s="104"/>
      <c r="L25" s="106" t="s">
        <v>55</v>
      </c>
      <c r="M25" s="106" t="s">
        <v>56</v>
      </c>
      <c r="N25" s="418"/>
      <c r="O25" s="419"/>
      <c r="P25" s="106" t="s">
        <v>57</v>
      </c>
      <c r="Q25" s="106" t="s">
        <v>56</v>
      </c>
      <c r="R25" s="103" t="s">
        <v>57</v>
      </c>
      <c r="S25" s="104" t="s">
        <v>59</v>
      </c>
      <c r="T25" s="424"/>
      <c r="U25" s="424"/>
      <c r="V25" s="103" t="s">
        <v>56</v>
      </c>
      <c r="W25" s="104" t="s">
        <v>56</v>
      </c>
      <c r="X25" s="106" t="s">
        <v>57</v>
      </c>
      <c r="Y25" s="106" t="s">
        <v>55</v>
      </c>
      <c r="Z25" s="415"/>
      <c r="AA25" s="416"/>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33"/>
      <c r="AS25" s="433"/>
      <c r="AT25" s="103" t="s">
        <v>56</v>
      </c>
      <c r="AU25" s="104" t="s">
        <v>57</v>
      </c>
      <c r="AV25" s="467"/>
      <c r="AW25" s="467"/>
      <c r="AX25" s="103" t="s">
        <v>60</v>
      </c>
      <c r="AY25" s="104" t="s">
        <v>56</v>
      </c>
      <c r="AZ25" s="26" t="s">
        <v>56</v>
      </c>
      <c r="BA25" s="26" t="s">
        <v>59</v>
      </c>
      <c r="BB25" s="103" t="s">
        <v>56</v>
      </c>
      <c r="BC25" s="104" t="s">
        <v>57</v>
      </c>
      <c r="BD25" s="462"/>
      <c r="BE25" s="462"/>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478"/>
      <c r="BU25" s="479"/>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04">
        <v>64</v>
      </c>
      <c r="C26" s="405"/>
      <c r="D26" s="26"/>
      <c r="E26" s="102"/>
      <c r="F26" s="26"/>
      <c r="G26" s="102"/>
      <c r="H26" s="26"/>
      <c r="I26" s="102"/>
      <c r="J26" s="26"/>
      <c r="K26" s="102"/>
      <c r="L26" s="26" t="s">
        <v>54</v>
      </c>
      <c r="M26" s="26" t="s">
        <v>60</v>
      </c>
      <c r="N26" s="101" t="s">
        <v>54</v>
      </c>
      <c r="O26" s="102" t="s">
        <v>60</v>
      </c>
      <c r="P26" s="26" t="s">
        <v>58</v>
      </c>
      <c r="Q26" s="26" t="s">
        <v>58</v>
      </c>
      <c r="R26" s="410" t="s">
        <v>42</v>
      </c>
      <c r="S26" s="411"/>
      <c r="T26" s="408" t="s">
        <v>63</v>
      </c>
      <c r="U26" s="409"/>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68" t="s">
        <v>11</v>
      </c>
      <c r="AU26" s="469"/>
      <c r="AV26" s="487" t="s">
        <v>2</v>
      </c>
      <c r="AW26" s="487"/>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410" t="s">
        <v>21</v>
      </c>
      <c r="BK26" s="411"/>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t="s">
        <v>54</v>
      </c>
      <c r="CC26" s="26" t="s">
        <v>60</v>
      </c>
      <c r="CD26" s="101"/>
      <c r="CE26" s="102"/>
      <c r="CF26" s="26"/>
      <c r="CG26" s="102"/>
      <c r="CH26" s="101"/>
      <c r="CI26" s="102"/>
      <c r="CJ26" s="26"/>
      <c r="CK26" s="102"/>
      <c r="CL26" s="101"/>
      <c r="CM26" s="102"/>
      <c r="CN26" s="26"/>
      <c r="CO26" s="102"/>
    </row>
    <row r="27" spans="1:93" ht="18.75" customHeight="1" thickBot="1">
      <c r="A27" s="285">
        <f t="shared" si="2"/>
        <v>64</v>
      </c>
      <c r="B27" s="406"/>
      <c r="C27" s="407"/>
      <c r="D27" s="26"/>
      <c r="E27" s="102"/>
      <c r="F27" s="26"/>
      <c r="G27" s="102"/>
      <c r="H27" s="26"/>
      <c r="I27" s="102"/>
      <c r="J27" s="26"/>
      <c r="K27" s="102"/>
      <c r="L27" s="26" t="s">
        <v>60</v>
      </c>
      <c r="M27" s="26" t="s">
        <v>56</v>
      </c>
      <c r="N27" s="101" t="s">
        <v>58</v>
      </c>
      <c r="O27" s="102" t="s">
        <v>59</v>
      </c>
      <c r="P27" s="26" t="s">
        <v>57</v>
      </c>
      <c r="Q27" s="26" t="s">
        <v>55</v>
      </c>
      <c r="R27" s="412"/>
      <c r="S27" s="411"/>
      <c r="T27" s="409"/>
      <c r="U27" s="409"/>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68"/>
      <c r="AU27" s="469"/>
      <c r="AV27" s="487"/>
      <c r="AW27" s="487"/>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12"/>
      <c r="BK27" s="411"/>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t="s">
        <v>59</v>
      </c>
      <c r="CC27" s="26" t="s">
        <v>59</v>
      </c>
      <c r="CD27" s="101"/>
      <c r="CE27" s="102"/>
      <c r="CF27" s="26"/>
      <c r="CG27" s="102"/>
      <c r="CH27" s="101"/>
      <c r="CI27" s="102"/>
      <c r="CJ27" s="26"/>
      <c r="CK27" s="102"/>
      <c r="CL27" s="101"/>
      <c r="CM27" s="102"/>
      <c r="CN27" s="26"/>
      <c r="CO27" s="102"/>
    </row>
    <row r="28" spans="1:93" ht="18.75" customHeight="1" thickTop="1">
      <c r="A28" s="285">
        <f t="shared" si="2"/>
        <v>63</v>
      </c>
      <c r="B28" s="404">
        <v>63</v>
      </c>
      <c r="C28" s="405"/>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t="s">
        <v>54</v>
      </c>
      <c r="AC28" s="105" t="s">
        <v>55</v>
      </c>
      <c r="AD28" s="99" t="s">
        <v>54</v>
      </c>
      <c r="AE28" s="100" t="s">
        <v>58</v>
      </c>
      <c r="AF28" s="105" t="s">
        <v>54</v>
      </c>
      <c r="AG28" s="105" t="s">
        <v>58</v>
      </c>
      <c r="AH28" s="99" t="s">
        <v>55</v>
      </c>
      <c r="AI28" s="100" t="s">
        <v>59</v>
      </c>
      <c r="AJ28" s="461" t="s">
        <v>65</v>
      </c>
      <c r="AK28" s="461"/>
      <c r="AL28" s="437"/>
      <c r="AM28" s="438"/>
      <c r="AN28" s="431" t="s">
        <v>48</v>
      </c>
      <c r="AO28" s="432"/>
      <c r="AP28" s="99" t="s">
        <v>54</v>
      </c>
      <c r="AQ28" s="100" t="s">
        <v>58</v>
      </c>
      <c r="AR28" s="105" t="s">
        <v>60</v>
      </c>
      <c r="AS28" s="105" t="s">
        <v>59</v>
      </c>
      <c r="AT28" s="99" t="s">
        <v>54</v>
      </c>
      <c r="AU28" s="100" t="s">
        <v>58</v>
      </c>
      <c r="AV28" s="466" t="s">
        <v>2</v>
      </c>
      <c r="AW28" s="466"/>
      <c r="AX28" s="99" t="s">
        <v>56</v>
      </c>
      <c r="AY28" s="100" t="s">
        <v>55</v>
      </c>
      <c r="AZ28" s="26" t="s">
        <v>54</v>
      </c>
      <c r="BA28" s="26" t="s">
        <v>58</v>
      </c>
      <c r="BB28" s="99" t="s">
        <v>59</v>
      </c>
      <c r="BC28" s="100" t="s">
        <v>55</v>
      </c>
      <c r="BD28" s="105" t="s">
        <v>60</v>
      </c>
      <c r="BE28" s="105" t="s">
        <v>60</v>
      </c>
      <c r="BF28" s="99" t="s">
        <v>54</v>
      </c>
      <c r="BG28" s="105" t="s">
        <v>56</v>
      </c>
      <c r="BH28" s="413" t="s">
        <v>80</v>
      </c>
      <c r="BI28" s="417"/>
      <c r="BJ28" s="431" t="s">
        <v>22</v>
      </c>
      <c r="BK28" s="414"/>
      <c r="BL28" s="105" t="s">
        <v>58</v>
      </c>
      <c r="BM28" s="105" t="s">
        <v>55</v>
      </c>
      <c r="BN28" s="99" t="s">
        <v>58</v>
      </c>
      <c r="BO28" s="100" t="s">
        <v>57</v>
      </c>
      <c r="BP28" s="423"/>
      <c r="BQ28" s="438"/>
      <c r="BR28" s="99" t="s">
        <v>54</v>
      </c>
      <c r="BS28" s="100" t="s">
        <v>58</v>
      </c>
      <c r="BT28" s="105" t="s">
        <v>57</v>
      </c>
      <c r="BU28" s="105" t="s">
        <v>59</v>
      </c>
      <c r="BV28" s="99" t="s">
        <v>60</v>
      </c>
      <c r="BW28" s="100" t="s">
        <v>56</v>
      </c>
      <c r="BX28" s="105" t="s">
        <v>58</v>
      </c>
      <c r="BY28" s="105" t="s">
        <v>57</v>
      </c>
      <c r="BZ28" s="99" t="s">
        <v>54</v>
      </c>
      <c r="CA28" s="100" t="s">
        <v>58</v>
      </c>
      <c r="CB28" s="105" t="s">
        <v>58</v>
      </c>
      <c r="CC28" s="105" t="s">
        <v>58</v>
      </c>
      <c r="CD28" s="99"/>
      <c r="CE28" s="100"/>
      <c r="CF28" s="105"/>
      <c r="CG28" s="100"/>
      <c r="CH28" s="152"/>
      <c r="CI28" s="100"/>
      <c r="CJ28" s="105"/>
      <c r="CK28" s="100"/>
      <c r="CL28" s="152"/>
      <c r="CM28" s="100"/>
      <c r="CN28" s="105"/>
      <c r="CO28" s="100"/>
    </row>
    <row r="29" spans="1:93" ht="18.75" customHeight="1" thickBot="1">
      <c r="A29" s="285">
        <f t="shared" si="2"/>
        <v>63</v>
      </c>
      <c r="B29" s="406"/>
      <c r="C29" s="407"/>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t="s">
        <v>59</v>
      </c>
      <c r="AC29" s="106" t="s">
        <v>56</v>
      </c>
      <c r="AD29" s="103" t="s">
        <v>60</v>
      </c>
      <c r="AE29" s="104" t="s">
        <v>55</v>
      </c>
      <c r="AF29" s="106" t="s">
        <v>59</v>
      </c>
      <c r="AG29" s="106" t="s">
        <v>56</v>
      </c>
      <c r="AH29" s="103" t="s">
        <v>56</v>
      </c>
      <c r="AI29" s="104" t="s">
        <v>57</v>
      </c>
      <c r="AJ29" s="462"/>
      <c r="AK29" s="462"/>
      <c r="AL29" s="439"/>
      <c r="AM29" s="440"/>
      <c r="AN29" s="433"/>
      <c r="AO29" s="433"/>
      <c r="AP29" s="103" t="s">
        <v>57</v>
      </c>
      <c r="AQ29" s="104" t="s">
        <v>55</v>
      </c>
      <c r="AR29" s="106" t="s">
        <v>58</v>
      </c>
      <c r="AS29" s="106" t="s">
        <v>58</v>
      </c>
      <c r="AT29" s="103" t="s">
        <v>59</v>
      </c>
      <c r="AU29" s="104" t="s">
        <v>57</v>
      </c>
      <c r="AV29" s="467"/>
      <c r="AW29" s="467"/>
      <c r="AX29" s="103" t="s">
        <v>59</v>
      </c>
      <c r="AY29" s="104" t="s">
        <v>59</v>
      </c>
      <c r="AZ29" s="106" t="s">
        <v>57</v>
      </c>
      <c r="BA29" s="106" t="s">
        <v>55</v>
      </c>
      <c r="BB29" s="103" t="s">
        <v>57</v>
      </c>
      <c r="BC29" s="104" t="s">
        <v>57</v>
      </c>
      <c r="BD29" s="106" t="s">
        <v>56</v>
      </c>
      <c r="BE29" s="106" t="s">
        <v>59</v>
      </c>
      <c r="BF29" s="103" t="s">
        <v>57</v>
      </c>
      <c r="BG29" s="106" t="s">
        <v>58</v>
      </c>
      <c r="BH29" s="418"/>
      <c r="BI29" s="419"/>
      <c r="BJ29" s="433"/>
      <c r="BK29" s="416"/>
      <c r="BL29" s="106" t="s">
        <v>59</v>
      </c>
      <c r="BM29" s="106" t="s">
        <v>59</v>
      </c>
      <c r="BN29" s="103" t="s">
        <v>59</v>
      </c>
      <c r="BO29" s="104" t="s">
        <v>55</v>
      </c>
      <c r="BP29" s="424"/>
      <c r="BQ29" s="440"/>
      <c r="BR29" s="103" t="s">
        <v>55</v>
      </c>
      <c r="BS29" s="104" t="s">
        <v>55</v>
      </c>
      <c r="BT29" s="106" t="s">
        <v>56</v>
      </c>
      <c r="BU29" s="106" t="s">
        <v>56</v>
      </c>
      <c r="BV29" s="103" t="s">
        <v>55</v>
      </c>
      <c r="BW29" s="104" t="s">
        <v>55</v>
      </c>
      <c r="BX29" s="106" t="s">
        <v>59</v>
      </c>
      <c r="BY29" s="106" t="s">
        <v>55</v>
      </c>
      <c r="BZ29" s="103" t="s">
        <v>60</v>
      </c>
      <c r="CA29" s="104" t="s">
        <v>59</v>
      </c>
      <c r="CB29" s="106" t="s">
        <v>57</v>
      </c>
      <c r="CC29" s="106" t="s">
        <v>55</v>
      </c>
      <c r="CD29" s="103"/>
      <c r="CE29" s="104"/>
      <c r="CF29" s="106"/>
      <c r="CG29" s="104"/>
      <c r="CH29" s="103"/>
      <c r="CI29" s="104"/>
      <c r="CJ29" s="106"/>
      <c r="CK29" s="104"/>
      <c r="CL29" s="103"/>
      <c r="CM29" s="104"/>
      <c r="CN29" s="106"/>
      <c r="CO29" s="104"/>
    </row>
    <row r="30" spans="1:93" ht="18.75" customHeight="1" thickTop="1">
      <c r="A30" s="285">
        <f t="shared" si="2"/>
        <v>62</v>
      </c>
      <c r="B30" s="404">
        <v>62</v>
      </c>
      <c r="C30" s="405"/>
      <c r="D30" s="26"/>
      <c r="E30" s="102"/>
      <c r="F30" s="26"/>
      <c r="G30" s="102"/>
      <c r="H30" s="26"/>
      <c r="I30" s="102"/>
      <c r="J30" s="26"/>
      <c r="K30" s="102"/>
      <c r="L30" s="26"/>
      <c r="M30" s="26"/>
      <c r="N30" s="101" t="s">
        <v>54</v>
      </c>
      <c r="O30" s="102" t="s">
        <v>60</v>
      </c>
      <c r="P30" s="26" t="s">
        <v>54</v>
      </c>
      <c r="Q30" s="26" t="s">
        <v>58</v>
      </c>
      <c r="R30" s="435"/>
      <c r="S30" s="436"/>
      <c r="T30" s="422"/>
      <c r="U30" s="422"/>
      <c r="V30" s="101" t="s">
        <v>58</v>
      </c>
      <c r="W30" s="102" t="s">
        <v>58</v>
      </c>
      <c r="X30" s="26"/>
      <c r="Y30" s="26"/>
      <c r="Z30" s="453"/>
      <c r="AA30" s="454"/>
      <c r="AB30" s="26"/>
      <c r="AC30" s="26"/>
      <c r="AD30" s="101" t="s">
        <v>56</v>
      </c>
      <c r="AE30" s="102" t="s">
        <v>56</v>
      </c>
      <c r="AF30" s="26" t="s">
        <v>56</v>
      </c>
      <c r="AG30" s="26" t="s">
        <v>54</v>
      </c>
      <c r="AH30" s="410" t="s">
        <v>105</v>
      </c>
      <c r="AI30" s="411"/>
      <c r="AJ30" s="26" t="s">
        <v>54</v>
      </c>
      <c r="AK30" s="26" t="s">
        <v>58</v>
      </c>
      <c r="AL30" s="101" t="s">
        <v>56</v>
      </c>
      <c r="AM30" s="102" t="s">
        <v>57</v>
      </c>
      <c r="AN30" s="422"/>
      <c r="AO30" s="422"/>
      <c r="AP30" s="101" t="s">
        <v>54</v>
      </c>
      <c r="AQ30" s="102" t="s">
        <v>58</v>
      </c>
      <c r="AR30" s="26" t="s">
        <v>54</v>
      </c>
      <c r="AS30" s="26" t="s">
        <v>58</v>
      </c>
      <c r="AT30" s="101" t="s">
        <v>58</v>
      </c>
      <c r="AU30" s="102" t="s">
        <v>58</v>
      </c>
      <c r="AV30" s="26" t="s">
        <v>55</v>
      </c>
      <c r="AW30" s="26" t="s">
        <v>55</v>
      </c>
      <c r="AX30" s="101" t="s">
        <v>59</v>
      </c>
      <c r="AY30" s="102" t="s">
        <v>59</v>
      </c>
      <c r="AZ30" s="420" t="s">
        <v>146</v>
      </c>
      <c r="BA30" s="421"/>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t="s">
        <v>57</v>
      </c>
      <c r="CC30" s="26" t="s">
        <v>55</v>
      </c>
      <c r="CD30" s="101"/>
      <c r="CE30" s="102"/>
      <c r="CF30" s="26"/>
      <c r="CG30" s="102"/>
      <c r="CH30" s="101"/>
      <c r="CI30" s="102"/>
      <c r="CJ30" s="26"/>
      <c r="CK30" s="102"/>
      <c r="CL30" s="101"/>
      <c r="CM30" s="102"/>
      <c r="CN30" s="26"/>
      <c r="CO30" s="102"/>
    </row>
    <row r="31" spans="1:93" ht="18.75" customHeight="1" thickBot="1">
      <c r="A31" s="285">
        <f t="shared" si="2"/>
        <v>62</v>
      </c>
      <c r="B31" s="406"/>
      <c r="C31" s="407"/>
      <c r="D31" s="26"/>
      <c r="E31" s="102"/>
      <c r="F31" s="26"/>
      <c r="G31" s="102"/>
      <c r="H31" s="26"/>
      <c r="I31" s="102"/>
      <c r="J31" s="26"/>
      <c r="K31" s="102"/>
      <c r="L31" s="26"/>
      <c r="M31" s="26"/>
      <c r="N31" s="101" t="s">
        <v>58</v>
      </c>
      <c r="O31" s="102" t="s">
        <v>57</v>
      </c>
      <c r="P31" s="26" t="s">
        <v>59</v>
      </c>
      <c r="Q31" s="26" t="s">
        <v>55</v>
      </c>
      <c r="R31" s="435"/>
      <c r="S31" s="436"/>
      <c r="T31" s="422"/>
      <c r="U31" s="422"/>
      <c r="V31" s="101" t="s">
        <v>56</v>
      </c>
      <c r="W31" s="102" t="s">
        <v>57</v>
      </c>
      <c r="X31" s="26"/>
      <c r="Y31" s="26"/>
      <c r="Z31" s="455"/>
      <c r="AA31" s="456"/>
      <c r="AB31" s="26"/>
      <c r="AC31" s="26"/>
      <c r="AD31" s="101" t="s">
        <v>60</v>
      </c>
      <c r="AE31" s="102" t="s">
        <v>58</v>
      </c>
      <c r="AF31" s="26" t="s">
        <v>55</v>
      </c>
      <c r="AG31" s="26" t="s">
        <v>58</v>
      </c>
      <c r="AH31" s="412"/>
      <c r="AI31" s="411"/>
      <c r="AJ31" s="26" t="s">
        <v>55</v>
      </c>
      <c r="AK31" s="26" t="s">
        <v>57</v>
      </c>
      <c r="AL31" s="101" t="s">
        <v>57</v>
      </c>
      <c r="AM31" s="102" t="s">
        <v>55</v>
      </c>
      <c r="AN31" s="422"/>
      <c r="AO31" s="422"/>
      <c r="AP31" s="101" t="s">
        <v>57</v>
      </c>
      <c r="AQ31" s="102" t="s">
        <v>55</v>
      </c>
      <c r="AR31" s="26" t="s">
        <v>60</v>
      </c>
      <c r="AS31" s="26" t="s">
        <v>55</v>
      </c>
      <c r="AT31" s="101" t="s">
        <v>59</v>
      </c>
      <c r="AU31" s="102" t="s">
        <v>57</v>
      </c>
      <c r="AV31" s="26" t="s">
        <v>59</v>
      </c>
      <c r="AW31" s="26" t="s">
        <v>57</v>
      </c>
      <c r="AX31" s="101" t="s">
        <v>57</v>
      </c>
      <c r="AY31" s="102" t="s">
        <v>58</v>
      </c>
      <c r="AZ31" s="420"/>
      <c r="BA31" s="421"/>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t="s">
        <v>59</v>
      </c>
      <c r="CC31" s="26" t="s">
        <v>59</v>
      </c>
      <c r="CD31" s="101"/>
      <c r="CE31" s="102"/>
      <c r="CF31" s="26"/>
      <c r="CG31" s="102"/>
      <c r="CH31" s="101"/>
      <c r="CI31" s="102"/>
      <c r="CJ31" s="26"/>
      <c r="CK31" s="102"/>
      <c r="CL31" s="101"/>
      <c r="CM31" s="102"/>
      <c r="CN31" s="26"/>
      <c r="CO31" s="102"/>
    </row>
    <row r="32" spans="1:93" ht="18.75" customHeight="1" thickTop="1">
      <c r="A32" s="285">
        <f t="shared" si="2"/>
        <v>61</v>
      </c>
      <c r="B32" s="404">
        <v>61</v>
      </c>
      <c r="C32" s="405"/>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449" t="s">
        <v>106</v>
      </c>
      <c r="AC32" s="450"/>
      <c r="AD32" s="99" t="s">
        <v>57</v>
      </c>
      <c r="AE32" s="100" t="s">
        <v>60</v>
      </c>
      <c r="AF32" s="105" t="s">
        <v>59</v>
      </c>
      <c r="AG32" s="105" t="s">
        <v>56</v>
      </c>
      <c r="AH32" s="441" t="s">
        <v>103</v>
      </c>
      <c r="AI32" s="442"/>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31" t="s">
        <v>94</v>
      </c>
      <c r="BA32" s="432"/>
      <c r="BB32" s="413" t="s">
        <v>93</v>
      </c>
      <c r="BC32" s="414"/>
      <c r="BD32" s="105" t="s">
        <v>55</v>
      </c>
      <c r="BE32" s="105" t="s">
        <v>58</v>
      </c>
      <c r="BF32" s="99" t="s">
        <v>55</v>
      </c>
      <c r="BG32" s="100" t="s">
        <v>57</v>
      </c>
      <c r="BH32" s="105" t="s">
        <v>58</v>
      </c>
      <c r="BI32" s="105" t="s">
        <v>60</v>
      </c>
      <c r="BJ32" s="441" t="s">
        <v>103</v>
      </c>
      <c r="BK32" s="463"/>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413" t="s">
        <v>119</v>
      </c>
      <c r="CA32" s="414"/>
      <c r="CB32" s="105" t="s">
        <v>54</v>
      </c>
      <c r="CC32" s="105" t="s">
        <v>60</v>
      </c>
      <c r="CD32" s="99"/>
      <c r="CE32" s="100"/>
      <c r="CF32" s="105"/>
      <c r="CG32" s="100"/>
      <c r="CH32" s="152"/>
      <c r="CI32" s="100"/>
      <c r="CJ32" s="105"/>
      <c r="CK32" s="100"/>
      <c r="CL32" s="152"/>
      <c r="CM32" s="100"/>
      <c r="CN32" s="105"/>
      <c r="CO32" s="100"/>
    </row>
    <row r="33" spans="1:93" ht="18.75" customHeight="1" thickBot="1">
      <c r="A33" s="285">
        <f t="shared" si="2"/>
        <v>61</v>
      </c>
      <c r="B33" s="406"/>
      <c r="C33" s="407"/>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451"/>
      <c r="AC33" s="452"/>
      <c r="AD33" s="103" t="s">
        <v>56</v>
      </c>
      <c r="AE33" s="104" t="s">
        <v>55</v>
      </c>
      <c r="AF33" s="106" t="s">
        <v>57</v>
      </c>
      <c r="AG33" s="106" t="s">
        <v>58</v>
      </c>
      <c r="AH33" s="443"/>
      <c r="AI33" s="444"/>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33"/>
      <c r="BA33" s="433"/>
      <c r="BB33" s="415"/>
      <c r="BC33" s="416"/>
      <c r="BD33" s="106" t="s">
        <v>57</v>
      </c>
      <c r="BE33" s="106" t="s">
        <v>57</v>
      </c>
      <c r="BF33" s="103" t="s">
        <v>60</v>
      </c>
      <c r="BG33" s="104" t="s">
        <v>58</v>
      </c>
      <c r="BH33" s="106" t="s">
        <v>55</v>
      </c>
      <c r="BI33" s="106" t="s">
        <v>57</v>
      </c>
      <c r="BJ33" s="464"/>
      <c r="BK33" s="465"/>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415"/>
      <c r="CA33" s="416"/>
      <c r="CB33" s="106" t="s">
        <v>57</v>
      </c>
      <c r="CC33" s="106" t="s">
        <v>59</v>
      </c>
      <c r="CD33" s="103"/>
      <c r="CE33" s="104"/>
      <c r="CF33" s="106"/>
      <c r="CG33" s="104"/>
      <c r="CH33" s="103"/>
      <c r="CI33" s="104"/>
      <c r="CJ33" s="106"/>
      <c r="CK33" s="104"/>
      <c r="CL33" s="103"/>
      <c r="CM33" s="104"/>
      <c r="CN33" s="106"/>
      <c r="CO33" s="104"/>
    </row>
    <row r="34" spans="1:93" ht="18.75" customHeight="1" thickTop="1">
      <c r="A34" s="285">
        <f t="shared" si="2"/>
        <v>60</v>
      </c>
      <c r="B34" s="404">
        <v>60</v>
      </c>
      <c r="C34" s="405"/>
      <c r="D34" s="26"/>
      <c r="E34" s="102"/>
      <c r="F34" s="26"/>
      <c r="G34" s="102"/>
      <c r="H34" s="26"/>
      <c r="I34" s="102"/>
      <c r="J34" s="26"/>
      <c r="K34" s="102"/>
      <c r="L34" s="26"/>
      <c r="M34" s="26"/>
      <c r="N34" s="101"/>
      <c r="O34" s="102"/>
      <c r="P34" s="26"/>
      <c r="Q34" s="26"/>
      <c r="R34" s="101"/>
      <c r="S34" s="102"/>
      <c r="T34" s="26"/>
      <c r="U34" s="26"/>
      <c r="V34" s="449" t="s">
        <v>107</v>
      </c>
      <c r="W34" s="450"/>
      <c r="X34" s="453"/>
      <c r="Y34" s="454"/>
      <c r="Z34" s="101"/>
      <c r="AA34" s="102"/>
      <c r="AB34" s="26" t="s">
        <v>59</v>
      </c>
      <c r="AC34" s="26" t="s">
        <v>58</v>
      </c>
      <c r="AD34" s="101" t="s">
        <v>59</v>
      </c>
      <c r="AE34" s="102" t="s">
        <v>57</v>
      </c>
      <c r="AF34" s="408" t="s">
        <v>83</v>
      </c>
      <c r="AG34" s="409"/>
      <c r="AH34" s="101" t="s">
        <v>59</v>
      </c>
      <c r="AI34" s="102" t="s">
        <v>57</v>
      </c>
      <c r="AJ34" s="26" t="s">
        <v>54</v>
      </c>
      <c r="AK34" s="26" t="s">
        <v>58</v>
      </c>
      <c r="AL34" s="410" t="s">
        <v>19</v>
      </c>
      <c r="AM34" s="411"/>
      <c r="AN34" s="26" t="s">
        <v>60</v>
      </c>
      <c r="AO34" s="26" t="s">
        <v>58</v>
      </c>
      <c r="AP34" s="410" t="s">
        <v>49</v>
      </c>
      <c r="AQ34" s="411"/>
      <c r="AR34" s="26" t="s">
        <v>59</v>
      </c>
      <c r="AS34" s="26" t="s">
        <v>58</v>
      </c>
      <c r="AT34" s="435"/>
      <c r="AU34" s="436"/>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08" t="s">
        <v>52</v>
      </c>
      <c r="BI34" s="409"/>
      <c r="BJ34" s="101" t="s">
        <v>60</v>
      </c>
      <c r="BK34" s="102" t="s">
        <v>59</v>
      </c>
      <c r="BL34" s="437"/>
      <c r="BM34" s="438"/>
      <c r="BN34" s="413" t="s">
        <v>78</v>
      </c>
      <c r="BO34" s="414"/>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57"/>
      <c r="CC34" s="458"/>
      <c r="CD34" s="101"/>
      <c r="CE34" s="102"/>
      <c r="CF34" s="26"/>
      <c r="CG34" s="102"/>
      <c r="CH34" s="101"/>
      <c r="CI34" s="102"/>
      <c r="CJ34" s="26"/>
      <c r="CK34" s="102"/>
      <c r="CL34" s="101"/>
      <c r="CM34" s="102"/>
      <c r="CN34" s="26"/>
      <c r="CO34" s="102"/>
    </row>
    <row r="35" spans="1:93" ht="18.75" customHeight="1" thickBot="1">
      <c r="A35" s="285">
        <f t="shared" si="2"/>
        <v>60</v>
      </c>
      <c r="B35" s="406"/>
      <c r="C35" s="407"/>
      <c r="D35" s="26"/>
      <c r="E35" s="102"/>
      <c r="F35" s="26"/>
      <c r="G35" s="102"/>
      <c r="H35" s="26"/>
      <c r="I35" s="102"/>
      <c r="J35" s="26"/>
      <c r="K35" s="102"/>
      <c r="L35" s="26"/>
      <c r="M35" s="26"/>
      <c r="N35" s="101"/>
      <c r="O35" s="102"/>
      <c r="P35" s="26"/>
      <c r="Q35" s="26"/>
      <c r="R35" s="101"/>
      <c r="S35" s="102"/>
      <c r="T35" s="26"/>
      <c r="U35" s="26"/>
      <c r="V35" s="451"/>
      <c r="W35" s="452"/>
      <c r="X35" s="455"/>
      <c r="Y35" s="456"/>
      <c r="Z35" s="101"/>
      <c r="AA35" s="102"/>
      <c r="AB35" s="26" t="s">
        <v>58</v>
      </c>
      <c r="AC35" s="26" t="s">
        <v>55</v>
      </c>
      <c r="AD35" s="101" t="s">
        <v>58</v>
      </c>
      <c r="AE35" s="102" t="s">
        <v>56</v>
      </c>
      <c r="AF35" s="409"/>
      <c r="AG35" s="409"/>
      <c r="AH35" s="101" t="s">
        <v>57</v>
      </c>
      <c r="AI35" s="102" t="s">
        <v>56</v>
      </c>
      <c r="AJ35" s="26" t="s">
        <v>56</v>
      </c>
      <c r="AK35" s="26" t="s">
        <v>55</v>
      </c>
      <c r="AL35" s="412"/>
      <c r="AM35" s="411"/>
      <c r="AN35" s="26" t="s">
        <v>55</v>
      </c>
      <c r="AO35" s="26" t="s">
        <v>57</v>
      </c>
      <c r="AP35" s="412"/>
      <c r="AQ35" s="411"/>
      <c r="AR35" s="26" t="s">
        <v>60</v>
      </c>
      <c r="AS35" s="26" t="s">
        <v>57</v>
      </c>
      <c r="AT35" s="435"/>
      <c r="AU35" s="436"/>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09"/>
      <c r="BI35" s="409"/>
      <c r="BJ35" s="101" t="s">
        <v>55</v>
      </c>
      <c r="BK35" s="102" t="s">
        <v>57</v>
      </c>
      <c r="BL35" s="439"/>
      <c r="BM35" s="440"/>
      <c r="BN35" s="415"/>
      <c r="BO35" s="416"/>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59"/>
      <c r="CC35" s="460"/>
      <c r="CD35" s="101"/>
      <c r="CE35" s="102"/>
      <c r="CF35" s="26"/>
      <c r="CG35" s="102"/>
      <c r="CH35" s="101"/>
      <c r="CI35" s="102"/>
      <c r="CJ35" s="26"/>
      <c r="CK35" s="102"/>
      <c r="CL35" s="101"/>
      <c r="CM35" s="102"/>
      <c r="CN35" s="26"/>
      <c r="CO35" s="102"/>
    </row>
    <row r="36" spans="1:93" ht="18.75" customHeight="1" thickTop="1">
      <c r="A36" s="285">
        <f t="shared" si="2"/>
        <v>59</v>
      </c>
      <c r="B36" s="404">
        <v>59</v>
      </c>
      <c r="C36" s="405"/>
      <c r="D36" s="105"/>
      <c r="E36" s="100"/>
      <c r="F36" s="105"/>
      <c r="G36" s="100"/>
      <c r="H36" s="105"/>
      <c r="I36" s="100"/>
      <c r="J36" s="105"/>
      <c r="K36" s="100"/>
      <c r="L36" s="105"/>
      <c r="M36" s="105"/>
      <c r="N36" s="99"/>
      <c r="O36" s="100"/>
      <c r="P36" s="105"/>
      <c r="Q36" s="105"/>
      <c r="R36" s="99"/>
      <c r="S36" s="100"/>
      <c r="T36" s="105"/>
      <c r="U36" s="105"/>
      <c r="V36" s="99"/>
      <c r="W36" s="100"/>
      <c r="X36" s="449" t="s">
        <v>108</v>
      </c>
      <c r="Y36" s="450"/>
      <c r="Z36" s="99"/>
      <c r="AA36" s="100"/>
      <c r="AB36" s="105" t="s">
        <v>57</v>
      </c>
      <c r="AC36" s="105" t="s">
        <v>57</v>
      </c>
      <c r="AD36" s="99" t="s">
        <v>57</v>
      </c>
      <c r="AE36" s="100" t="s">
        <v>57</v>
      </c>
      <c r="AF36" s="105" t="s">
        <v>54</v>
      </c>
      <c r="AG36" s="105" t="s">
        <v>55</v>
      </c>
      <c r="AH36" s="99" t="s">
        <v>57</v>
      </c>
      <c r="AI36" s="100" t="s">
        <v>56</v>
      </c>
      <c r="AJ36" s="105" t="s">
        <v>54</v>
      </c>
      <c r="AK36" s="105" t="s">
        <v>60</v>
      </c>
      <c r="AL36" s="437"/>
      <c r="AM36" s="438"/>
      <c r="AN36" s="105" t="s">
        <v>55</v>
      </c>
      <c r="AO36" s="105" t="s">
        <v>58</v>
      </c>
      <c r="AP36" s="413" t="s">
        <v>102</v>
      </c>
      <c r="AQ36" s="414"/>
      <c r="AR36" s="423"/>
      <c r="AS36" s="423"/>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413" t="s">
        <v>91</v>
      </c>
      <c r="BQ36" s="414"/>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06"/>
      <c r="C37" s="407"/>
      <c r="D37" s="106"/>
      <c r="E37" s="104"/>
      <c r="F37" s="106"/>
      <c r="G37" s="104"/>
      <c r="H37" s="106"/>
      <c r="I37" s="104"/>
      <c r="J37" s="106"/>
      <c r="K37" s="104"/>
      <c r="L37" s="106"/>
      <c r="M37" s="106"/>
      <c r="N37" s="103"/>
      <c r="O37" s="104"/>
      <c r="P37" s="106"/>
      <c r="Q37" s="106"/>
      <c r="R37" s="103"/>
      <c r="S37" s="104"/>
      <c r="T37" s="106"/>
      <c r="U37" s="106"/>
      <c r="V37" s="103"/>
      <c r="W37" s="104"/>
      <c r="X37" s="451"/>
      <c r="Y37" s="452"/>
      <c r="Z37" s="103"/>
      <c r="AA37" s="104"/>
      <c r="AB37" s="106" t="s">
        <v>58</v>
      </c>
      <c r="AC37" s="106" t="s">
        <v>59</v>
      </c>
      <c r="AD37" s="103" t="s">
        <v>54</v>
      </c>
      <c r="AE37" s="104" t="s">
        <v>60</v>
      </c>
      <c r="AF37" s="26" t="s">
        <v>55</v>
      </c>
      <c r="AG37" s="26" t="s">
        <v>58</v>
      </c>
      <c r="AH37" s="103" t="s">
        <v>55</v>
      </c>
      <c r="AI37" s="104" t="s">
        <v>57</v>
      </c>
      <c r="AJ37" s="106" t="s">
        <v>59</v>
      </c>
      <c r="AK37" s="106" t="s">
        <v>58</v>
      </c>
      <c r="AL37" s="439"/>
      <c r="AM37" s="440"/>
      <c r="AN37" s="106" t="s">
        <v>57</v>
      </c>
      <c r="AO37" s="106" t="s">
        <v>56</v>
      </c>
      <c r="AP37" s="415"/>
      <c r="AQ37" s="416"/>
      <c r="AR37" s="424"/>
      <c r="AS37" s="424"/>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415"/>
      <c r="BQ37" s="416"/>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04">
        <v>58</v>
      </c>
      <c r="C38" s="405"/>
      <c r="D38" s="26"/>
      <c r="E38" s="102"/>
      <c r="F38" s="26"/>
      <c r="G38" s="102"/>
      <c r="H38" s="26"/>
      <c r="I38" s="102"/>
      <c r="J38" s="26"/>
      <c r="K38" s="102"/>
      <c r="L38" s="26"/>
      <c r="M38" s="26"/>
      <c r="N38" s="101"/>
      <c r="O38" s="102"/>
      <c r="P38" s="26"/>
      <c r="Q38" s="26"/>
      <c r="R38" s="101"/>
      <c r="S38" s="102"/>
      <c r="T38" s="26"/>
      <c r="U38" s="26"/>
      <c r="V38" s="101"/>
      <c r="W38" s="102"/>
      <c r="X38" s="26"/>
      <c r="Y38" s="26"/>
      <c r="Z38" s="449" t="s">
        <v>109</v>
      </c>
      <c r="AA38" s="450"/>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413" t="s">
        <v>75</v>
      </c>
      <c r="AY38" s="414"/>
      <c r="AZ38" s="26" t="s">
        <v>60</v>
      </c>
      <c r="BA38" s="26" t="s">
        <v>59</v>
      </c>
      <c r="BB38" s="420" t="s">
        <v>66</v>
      </c>
      <c r="BC38" s="421"/>
      <c r="BD38" s="422"/>
      <c r="BE38" s="422"/>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413" t="s">
        <v>92</v>
      </c>
      <c r="BS38" s="414"/>
      <c r="BT38" s="26" t="s">
        <v>54</v>
      </c>
      <c r="BU38" s="26" t="s">
        <v>60</v>
      </c>
      <c r="BV38" s="101" t="s">
        <v>58</v>
      </c>
      <c r="BW38" s="102" t="s">
        <v>56</v>
      </c>
      <c r="BX38" s="26"/>
      <c r="BY38" s="26"/>
      <c r="BZ38" s="449" t="s">
        <v>120</v>
      </c>
      <c r="CA38" s="450"/>
      <c r="CB38" s="26"/>
      <c r="CC38" s="26"/>
      <c r="CD38" s="101"/>
      <c r="CE38" s="102"/>
      <c r="CF38" s="26"/>
      <c r="CG38" s="102"/>
      <c r="CH38" s="101"/>
      <c r="CI38" s="102"/>
      <c r="CJ38" s="26"/>
      <c r="CK38" s="102"/>
      <c r="CL38" s="101"/>
      <c r="CM38" s="102"/>
      <c r="CN38" s="26"/>
      <c r="CO38" s="102"/>
    </row>
    <row r="39" spans="1:93" ht="18.75" customHeight="1" thickBot="1">
      <c r="A39" s="285">
        <f t="shared" si="2"/>
        <v>58</v>
      </c>
      <c r="B39" s="406"/>
      <c r="C39" s="407"/>
      <c r="D39" s="26"/>
      <c r="E39" s="102"/>
      <c r="F39" s="26"/>
      <c r="G39" s="102"/>
      <c r="H39" s="26"/>
      <c r="I39" s="102"/>
      <c r="J39" s="26"/>
      <c r="K39" s="102"/>
      <c r="L39" s="26"/>
      <c r="M39" s="26"/>
      <c r="N39" s="101"/>
      <c r="O39" s="102"/>
      <c r="P39" s="26"/>
      <c r="Q39" s="26"/>
      <c r="R39" s="101"/>
      <c r="S39" s="102"/>
      <c r="T39" s="26"/>
      <c r="U39" s="26"/>
      <c r="V39" s="101"/>
      <c r="W39" s="102"/>
      <c r="X39" s="26"/>
      <c r="Y39" s="26"/>
      <c r="Z39" s="451"/>
      <c r="AA39" s="452"/>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415"/>
      <c r="AY39" s="416"/>
      <c r="AZ39" s="26" t="s">
        <v>55</v>
      </c>
      <c r="BA39" s="26" t="s">
        <v>57</v>
      </c>
      <c r="BB39" s="420"/>
      <c r="BC39" s="421"/>
      <c r="BD39" s="422"/>
      <c r="BE39" s="422"/>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415"/>
      <c r="BS39" s="416"/>
      <c r="BT39" s="26" t="s">
        <v>56</v>
      </c>
      <c r="BU39" s="26" t="s">
        <v>59</v>
      </c>
      <c r="BV39" s="101" t="s">
        <v>59</v>
      </c>
      <c r="BW39" s="102" t="s">
        <v>59</v>
      </c>
      <c r="BX39" s="26"/>
      <c r="BY39" s="26"/>
      <c r="BZ39" s="451"/>
      <c r="CA39" s="452"/>
      <c r="CB39" s="26"/>
      <c r="CC39" s="26"/>
      <c r="CD39" s="101"/>
      <c r="CE39" s="102"/>
      <c r="CF39" s="26"/>
      <c r="CG39" s="102"/>
      <c r="CH39" s="101"/>
      <c r="CI39" s="102"/>
      <c r="CJ39" s="26"/>
      <c r="CK39" s="102"/>
      <c r="CL39" s="101"/>
      <c r="CM39" s="102"/>
      <c r="CN39" s="26"/>
      <c r="CO39" s="102"/>
    </row>
    <row r="40" spans="1:93" ht="18.75" customHeight="1" thickTop="1">
      <c r="A40" s="285">
        <f t="shared" si="2"/>
        <v>57</v>
      </c>
      <c r="B40" s="404">
        <v>57</v>
      </c>
      <c r="C40" s="405"/>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488" t="s">
        <v>110</v>
      </c>
      <c r="AG40" s="489"/>
      <c r="AH40" s="99"/>
      <c r="AI40" s="100"/>
      <c r="AJ40" s="105" t="s">
        <v>54</v>
      </c>
      <c r="AK40" s="105" t="s">
        <v>60</v>
      </c>
      <c r="AL40" s="99" t="s">
        <v>54</v>
      </c>
      <c r="AM40" s="100" t="s">
        <v>58</v>
      </c>
      <c r="AN40" s="105" t="s">
        <v>55</v>
      </c>
      <c r="AO40" s="105" t="s">
        <v>57</v>
      </c>
      <c r="AP40" s="437"/>
      <c r="AQ40" s="438"/>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413" t="s">
        <v>51</v>
      </c>
      <c r="BG40" s="414"/>
      <c r="BH40" s="423"/>
      <c r="BI40" s="423"/>
      <c r="BJ40" s="99" t="s">
        <v>58</v>
      </c>
      <c r="BK40" s="100" t="s">
        <v>60</v>
      </c>
      <c r="BL40" s="105" t="s">
        <v>60</v>
      </c>
      <c r="BM40" s="105" t="s">
        <v>57</v>
      </c>
      <c r="BN40" s="413" t="s">
        <v>32</v>
      </c>
      <c r="BO40" s="414"/>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06"/>
      <c r="C41" s="407"/>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451"/>
      <c r="AG41" s="452"/>
      <c r="AH41" s="103"/>
      <c r="AI41" s="104"/>
      <c r="AJ41" s="106" t="s">
        <v>57</v>
      </c>
      <c r="AK41" s="106" t="s">
        <v>59</v>
      </c>
      <c r="AL41" s="103" t="s">
        <v>57</v>
      </c>
      <c r="AM41" s="104" t="s">
        <v>56</v>
      </c>
      <c r="AN41" s="106" t="s">
        <v>59</v>
      </c>
      <c r="AO41" s="106" t="s">
        <v>60</v>
      </c>
      <c r="AP41" s="439"/>
      <c r="AQ41" s="440"/>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415"/>
      <c r="BG41" s="416"/>
      <c r="BH41" s="424"/>
      <c r="BI41" s="424"/>
      <c r="BJ41" s="103" t="s">
        <v>56</v>
      </c>
      <c r="BK41" s="104" t="s">
        <v>56</v>
      </c>
      <c r="BL41" s="106" t="s">
        <v>56</v>
      </c>
      <c r="BM41" s="106" t="s">
        <v>59</v>
      </c>
      <c r="BN41" s="415"/>
      <c r="BO41" s="416"/>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04">
        <v>56</v>
      </c>
      <c r="C42" s="405"/>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413" t="s">
        <v>112</v>
      </c>
      <c r="AM42" s="414"/>
      <c r="AN42" s="26" t="s">
        <v>60</v>
      </c>
      <c r="AO42" s="26" t="s">
        <v>59</v>
      </c>
      <c r="AP42" s="101" t="s">
        <v>54</v>
      </c>
      <c r="AQ42" s="102" t="s">
        <v>58</v>
      </c>
      <c r="AR42" s="449" t="s">
        <v>101</v>
      </c>
      <c r="AS42" s="470"/>
      <c r="AT42" s="101"/>
      <c r="AU42" s="102"/>
      <c r="AV42" s="449" t="s">
        <v>100</v>
      </c>
      <c r="AW42" s="450"/>
      <c r="AX42" s="101" t="s">
        <v>54</v>
      </c>
      <c r="AY42" s="102" t="s">
        <v>58</v>
      </c>
      <c r="AZ42" s="26" t="s">
        <v>54</v>
      </c>
      <c r="BA42" s="26" t="s">
        <v>58</v>
      </c>
      <c r="BB42" s="101" t="s">
        <v>54</v>
      </c>
      <c r="BC42" s="102" t="s">
        <v>58</v>
      </c>
      <c r="BD42" s="26" t="s">
        <v>58</v>
      </c>
      <c r="BE42" s="26" t="s">
        <v>55</v>
      </c>
      <c r="BF42" s="101" t="s">
        <v>60</v>
      </c>
      <c r="BG42" s="102" t="s">
        <v>56</v>
      </c>
      <c r="BH42" s="26" t="s">
        <v>54</v>
      </c>
      <c r="BI42" s="26" t="s">
        <v>56</v>
      </c>
      <c r="BJ42" s="101" t="s">
        <v>54</v>
      </c>
      <c r="BK42" s="102" t="s">
        <v>58</v>
      </c>
      <c r="BL42" s="408" t="s">
        <v>95</v>
      </c>
      <c r="BM42" s="409"/>
      <c r="BN42" s="410" t="s">
        <v>45</v>
      </c>
      <c r="BO42" s="411"/>
      <c r="BP42" s="26" t="s">
        <v>55</v>
      </c>
      <c r="BQ42" s="26" t="s">
        <v>59</v>
      </c>
      <c r="BR42" s="101" t="s">
        <v>58</v>
      </c>
      <c r="BS42" s="102" t="s">
        <v>57</v>
      </c>
      <c r="BT42" s="26" t="s">
        <v>54</v>
      </c>
      <c r="BU42" s="26" t="s">
        <v>60</v>
      </c>
      <c r="BV42" s="449" t="s">
        <v>96</v>
      </c>
      <c r="BW42" s="470"/>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06"/>
      <c r="C43" s="407"/>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415"/>
      <c r="AM43" s="416"/>
      <c r="AN43" s="26" t="s">
        <v>57</v>
      </c>
      <c r="AO43" s="26" t="s">
        <v>55</v>
      </c>
      <c r="AP43" s="101" t="s">
        <v>60</v>
      </c>
      <c r="AQ43" s="102" t="s">
        <v>56</v>
      </c>
      <c r="AR43" s="471"/>
      <c r="AS43" s="472"/>
      <c r="AT43" s="101"/>
      <c r="AU43" s="102"/>
      <c r="AV43" s="451"/>
      <c r="AW43" s="452"/>
      <c r="AX43" s="101" t="s">
        <v>56</v>
      </c>
      <c r="AY43" s="102" t="s">
        <v>56</v>
      </c>
      <c r="AZ43" s="26" t="s">
        <v>57</v>
      </c>
      <c r="BA43" s="26" t="s">
        <v>55</v>
      </c>
      <c r="BB43" s="101" t="s">
        <v>58</v>
      </c>
      <c r="BC43" s="102" t="s">
        <v>57</v>
      </c>
      <c r="BD43" s="26" t="s">
        <v>59</v>
      </c>
      <c r="BE43" s="26" t="s">
        <v>59</v>
      </c>
      <c r="BF43" s="101" t="s">
        <v>59</v>
      </c>
      <c r="BG43" s="102" t="s">
        <v>55</v>
      </c>
      <c r="BH43" s="26" t="s">
        <v>55</v>
      </c>
      <c r="BI43" s="26" t="s">
        <v>55</v>
      </c>
      <c r="BJ43" s="101" t="s">
        <v>57</v>
      </c>
      <c r="BK43" s="102" t="s">
        <v>55</v>
      </c>
      <c r="BL43" s="409"/>
      <c r="BM43" s="409"/>
      <c r="BN43" s="412"/>
      <c r="BO43" s="411"/>
      <c r="BP43" s="26" t="s">
        <v>57</v>
      </c>
      <c r="BQ43" s="26" t="s">
        <v>57</v>
      </c>
      <c r="BR43" s="101" t="s">
        <v>59</v>
      </c>
      <c r="BS43" s="102" t="s">
        <v>55</v>
      </c>
      <c r="BT43" s="26" t="s">
        <v>56</v>
      </c>
      <c r="BU43" s="26" t="s">
        <v>59</v>
      </c>
      <c r="BV43" s="471"/>
      <c r="BW43" s="472"/>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04">
        <v>55</v>
      </c>
      <c r="C44" s="405"/>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449" t="s">
        <v>111</v>
      </c>
      <c r="AI44" s="450"/>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300"/>
      <c r="BG44" s="100"/>
      <c r="BH44" s="453"/>
      <c r="BI44" s="454"/>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300" t="s">
        <v>58</v>
      </c>
      <c r="BW44" s="100" t="s">
        <v>60</v>
      </c>
      <c r="BX44" s="105"/>
      <c r="BY44" s="105"/>
      <c r="BZ44" s="449" t="s">
        <v>121</v>
      </c>
      <c r="CA44" s="450"/>
      <c r="CB44" s="105"/>
      <c r="CC44" s="105"/>
      <c r="CD44" s="99"/>
      <c r="CE44" s="100"/>
      <c r="CF44" s="105"/>
      <c r="CG44" s="100"/>
      <c r="CH44" s="152"/>
      <c r="CI44" s="100"/>
      <c r="CJ44" s="105"/>
      <c r="CK44" s="100"/>
      <c r="CL44" s="152"/>
      <c r="CM44" s="100"/>
      <c r="CN44" s="105"/>
      <c r="CO44" s="100"/>
    </row>
    <row r="45" spans="1:93" ht="18.75" customHeight="1" thickBot="1">
      <c r="A45" s="285">
        <f t="shared" si="2"/>
        <v>55</v>
      </c>
      <c r="B45" s="406"/>
      <c r="C45" s="407"/>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451"/>
      <c r="AI45" s="452"/>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455"/>
      <c r="BI45" s="456"/>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1" t="s">
        <v>57</v>
      </c>
      <c r="BW45" s="102" t="s">
        <v>56</v>
      </c>
      <c r="BX45" s="106"/>
      <c r="BY45" s="106"/>
      <c r="BZ45" s="451"/>
      <c r="CA45" s="452"/>
      <c r="CB45" s="106"/>
      <c r="CC45" s="106"/>
      <c r="CD45" s="103"/>
      <c r="CE45" s="104"/>
      <c r="CF45" s="106"/>
      <c r="CG45" s="104"/>
      <c r="CH45" s="103"/>
      <c r="CI45" s="104"/>
      <c r="CJ45" s="106"/>
      <c r="CK45" s="104"/>
      <c r="CL45" s="103"/>
      <c r="CM45" s="104"/>
      <c r="CN45" s="106"/>
      <c r="CO45" s="104"/>
    </row>
    <row r="46" spans="1:93" ht="18.75" customHeight="1" thickTop="1">
      <c r="A46" s="285">
        <f t="shared" si="2"/>
        <v>54</v>
      </c>
      <c r="B46" s="404">
        <v>54</v>
      </c>
      <c r="C46" s="405"/>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449" t="s">
        <v>99</v>
      </c>
      <c r="BA46" s="450"/>
      <c r="BB46" s="101"/>
      <c r="BC46" s="102"/>
      <c r="BD46" s="26"/>
      <c r="BE46" s="26"/>
      <c r="BF46" s="449" t="s">
        <v>98</v>
      </c>
      <c r="BG46" s="450"/>
      <c r="BH46" s="26"/>
      <c r="BI46" s="26"/>
      <c r="BJ46" s="101"/>
      <c r="BK46" s="102"/>
      <c r="BL46" s="26" t="s">
        <v>54</v>
      </c>
      <c r="BM46" s="26" t="s">
        <v>58</v>
      </c>
      <c r="BN46" s="101" t="s">
        <v>58</v>
      </c>
      <c r="BO46" s="102" t="s">
        <v>58</v>
      </c>
      <c r="BP46" s="408" t="s">
        <v>97</v>
      </c>
      <c r="BQ46" s="409"/>
      <c r="BR46" s="101" t="s">
        <v>58</v>
      </c>
      <c r="BS46" s="102" t="s">
        <v>59</v>
      </c>
      <c r="BT46" s="413" t="s">
        <v>117</v>
      </c>
      <c r="BU46" s="431"/>
      <c r="BV46" s="301" t="s">
        <v>54</v>
      </c>
      <c r="BW46" s="302" t="s">
        <v>54</v>
      </c>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06"/>
      <c r="C47" s="407"/>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451"/>
      <c r="BA47" s="452"/>
      <c r="BB47" s="101"/>
      <c r="BC47" s="102"/>
      <c r="BD47" s="26"/>
      <c r="BE47" s="26"/>
      <c r="BF47" s="451"/>
      <c r="BG47" s="452"/>
      <c r="BH47" s="26"/>
      <c r="BI47" s="26"/>
      <c r="BJ47" s="101"/>
      <c r="BK47" s="102"/>
      <c r="BL47" s="26" t="s">
        <v>60</v>
      </c>
      <c r="BM47" s="26" t="s">
        <v>57</v>
      </c>
      <c r="BN47" s="101" t="s">
        <v>60</v>
      </c>
      <c r="BO47" s="102" t="s">
        <v>55</v>
      </c>
      <c r="BP47" s="409"/>
      <c r="BQ47" s="409"/>
      <c r="BR47" s="101" t="s">
        <v>56</v>
      </c>
      <c r="BS47" s="102" t="s">
        <v>57</v>
      </c>
      <c r="BT47" s="418"/>
      <c r="BU47" s="490"/>
      <c r="BV47" s="303" t="s">
        <v>58</v>
      </c>
      <c r="BW47" s="304" t="s">
        <v>59</v>
      </c>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04">
        <v>53</v>
      </c>
      <c r="C48" s="405"/>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413" t="s">
        <v>114</v>
      </c>
      <c r="AQ48" s="414"/>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449" t="s">
        <v>118</v>
      </c>
      <c r="BK48" s="450"/>
      <c r="BL48" s="105"/>
      <c r="BM48" s="105"/>
      <c r="BN48" s="99" t="s">
        <v>58</v>
      </c>
      <c r="BO48" s="100" t="s">
        <v>58</v>
      </c>
      <c r="BP48" s="105" t="s">
        <v>58</v>
      </c>
      <c r="BQ48" s="105" t="s">
        <v>58</v>
      </c>
      <c r="BR48" s="99" t="s">
        <v>54</v>
      </c>
      <c r="BS48" s="100" t="s">
        <v>58</v>
      </c>
      <c r="BT48" s="105" t="s">
        <v>58</v>
      </c>
      <c r="BU48" s="105" t="s">
        <v>58</v>
      </c>
      <c r="BV48" s="101"/>
      <c r="BW48" s="102"/>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06"/>
      <c r="C49" s="407"/>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415"/>
      <c r="AQ49" s="416"/>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451"/>
      <c r="BK49" s="452"/>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04">
        <v>52</v>
      </c>
      <c r="C50" s="405"/>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413" t="s">
        <v>113</v>
      </c>
      <c r="AI50" s="414"/>
      <c r="AJ50" s="413" t="s">
        <v>147</v>
      </c>
      <c r="AK50" s="432"/>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10" t="s">
        <v>25</v>
      </c>
      <c r="BS50" s="411"/>
      <c r="BT50" s="26" t="s">
        <v>55</v>
      </c>
      <c r="BU50" s="26" t="s">
        <v>59</v>
      </c>
      <c r="BV50" s="101"/>
      <c r="BW50" s="102"/>
      <c r="BX50" s="26"/>
      <c r="BY50" s="26"/>
      <c r="BZ50" s="449" t="s">
        <v>122</v>
      </c>
      <c r="CA50" s="450"/>
      <c r="CB50" s="26"/>
      <c r="CC50" s="26"/>
      <c r="CD50" s="101"/>
      <c r="CE50" s="102"/>
      <c r="CF50" s="26"/>
      <c r="CG50" s="102"/>
      <c r="CH50" s="101"/>
      <c r="CI50" s="102"/>
      <c r="CJ50" s="26"/>
      <c r="CK50" s="102"/>
      <c r="CL50" s="101"/>
      <c r="CM50" s="102"/>
      <c r="CN50" s="26"/>
      <c r="CO50" s="102"/>
    </row>
    <row r="51" spans="1:93" ht="18.75" customHeight="1" thickBot="1">
      <c r="A51" s="285">
        <f t="shared" si="2"/>
        <v>52</v>
      </c>
      <c r="B51" s="406"/>
      <c r="C51" s="407"/>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415"/>
      <c r="AI51" s="416"/>
      <c r="AJ51" s="415"/>
      <c r="AK51" s="433"/>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12"/>
      <c r="BS51" s="411"/>
      <c r="BT51" s="26" t="s">
        <v>56</v>
      </c>
      <c r="BU51" s="26" t="s">
        <v>56</v>
      </c>
      <c r="BV51" s="101"/>
      <c r="BW51" s="102"/>
      <c r="BX51" s="26"/>
      <c r="BY51" s="26"/>
      <c r="BZ51" s="451"/>
      <c r="CA51" s="452"/>
      <c r="CB51" s="26"/>
      <c r="CC51" s="26"/>
      <c r="CD51" s="101"/>
      <c r="CE51" s="102"/>
      <c r="CF51" s="26"/>
      <c r="CG51" s="102"/>
      <c r="CH51" s="101"/>
      <c r="CI51" s="102"/>
      <c r="CJ51" s="26"/>
      <c r="CK51" s="102"/>
      <c r="CL51" s="101"/>
      <c r="CM51" s="102"/>
      <c r="CN51" s="26"/>
      <c r="CO51" s="102"/>
    </row>
    <row r="52" spans="1:93" ht="18.75" customHeight="1" thickTop="1">
      <c r="A52" s="285">
        <f t="shared" si="2"/>
        <v>51</v>
      </c>
      <c r="B52" s="404">
        <v>51</v>
      </c>
      <c r="C52" s="405"/>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296" t="s">
        <v>60</v>
      </c>
      <c r="AE52" s="100" t="s">
        <v>57</v>
      </c>
      <c r="AF52" s="105" t="s">
        <v>54</v>
      </c>
      <c r="AG52" s="105" t="s">
        <v>58</v>
      </c>
      <c r="AH52" s="99" t="s">
        <v>60</v>
      </c>
      <c r="AI52" s="100" t="s">
        <v>59</v>
      </c>
      <c r="AJ52" s="105" t="s">
        <v>58</v>
      </c>
      <c r="AK52" s="105" t="s">
        <v>57</v>
      </c>
      <c r="AL52" s="101" t="s">
        <v>54</v>
      </c>
      <c r="AM52" s="102" t="s">
        <v>58</v>
      </c>
      <c r="AN52" s="449" t="s">
        <v>115</v>
      </c>
      <c r="AO52" s="450"/>
      <c r="AP52" s="99" t="s">
        <v>54</v>
      </c>
      <c r="AQ52" s="100" t="s">
        <v>60</v>
      </c>
      <c r="AR52" s="105"/>
      <c r="AS52" s="105"/>
      <c r="AT52" s="453"/>
      <c r="AU52" s="454"/>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06"/>
      <c r="C53" s="407"/>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t="s">
        <v>59</v>
      </c>
      <c r="AE53" s="104" t="s">
        <v>56</v>
      </c>
      <c r="AF53" s="106" t="s">
        <v>55</v>
      </c>
      <c r="AG53" s="106" t="s">
        <v>57</v>
      </c>
      <c r="AH53" s="103" t="s">
        <v>56</v>
      </c>
      <c r="AI53" s="104" t="s">
        <v>57</v>
      </c>
      <c r="AJ53" s="106" t="s">
        <v>59</v>
      </c>
      <c r="AK53" s="106" t="s">
        <v>56</v>
      </c>
      <c r="AL53" s="103" t="s">
        <v>58</v>
      </c>
      <c r="AM53" s="104" t="s">
        <v>57</v>
      </c>
      <c r="AN53" s="451"/>
      <c r="AO53" s="452"/>
      <c r="AP53" s="103" t="s">
        <v>59</v>
      </c>
      <c r="AQ53" s="104" t="s">
        <v>55</v>
      </c>
      <c r="AR53" s="106"/>
      <c r="AS53" s="106"/>
      <c r="AT53" s="455"/>
      <c r="AU53" s="456"/>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04">
        <v>50</v>
      </c>
      <c r="C54" s="405"/>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491" t="s">
        <v>145</v>
      </c>
      <c r="AK54" s="492"/>
      <c r="AL54" s="296" t="s">
        <v>60</v>
      </c>
      <c r="AM54" s="100" t="s">
        <v>57</v>
      </c>
      <c r="AN54" s="449" t="s">
        <v>116</v>
      </c>
      <c r="AO54" s="450"/>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449" t="s">
        <v>123</v>
      </c>
      <c r="CA54" s="450"/>
      <c r="CB54" s="105"/>
      <c r="CC54" s="105"/>
      <c r="CD54" s="99"/>
      <c r="CE54" s="100"/>
      <c r="CF54" s="105"/>
      <c r="CG54" s="100"/>
      <c r="CH54" s="152"/>
      <c r="CI54" s="100"/>
      <c r="CJ54" s="105"/>
      <c r="CK54" s="100"/>
      <c r="CL54" s="152"/>
      <c r="CM54" s="100"/>
      <c r="CN54" s="105"/>
      <c r="CO54" s="100"/>
    </row>
    <row r="55" spans="1:93" ht="18.75" customHeight="1" thickBot="1">
      <c r="A55" s="285">
        <f t="shared" si="2"/>
        <v>50</v>
      </c>
      <c r="B55" s="406"/>
      <c r="C55" s="407"/>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493"/>
      <c r="AK55" s="494"/>
      <c r="AL55" s="103" t="s">
        <v>59</v>
      </c>
      <c r="AM55" s="104" t="s">
        <v>56</v>
      </c>
      <c r="AN55" s="451"/>
      <c r="AO55" s="452"/>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451"/>
      <c r="CA55" s="452"/>
      <c r="CB55" s="106"/>
      <c r="CC55" s="106"/>
      <c r="CD55" s="103"/>
      <c r="CE55" s="104"/>
      <c r="CF55" s="106"/>
      <c r="CG55" s="104"/>
      <c r="CH55" s="103"/>
      <c r="CI55" s="104"/>
      <c r="CJ55" s="106"/>
      <c r="CK55" s="104"/>
      <c r="CL55" s="103"/>
      <c r="CM55" s="104"/>
      <c r="CN55" s="106"/>
      <c r="CO55" s="104"/>
    </row>
    <row r="56" spans="1:93" ht="18.75" customHeight="1" thickTop="1">
      <c r="A56" s="285">
        <f t="shared" si="2"/>
        <v>49</v>
      </c>
      <c r="B56" s="404">
        <v>49</v>
      </c>
      <c r="C56" s="405"/>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t="s">
        <v>54</v>
      </c>
      <c r="AG56" s="26" t="s">
        <v>58</v>
      </c>
      <c r="AH56" s="437"/>
      <c r="AI56" s="438"/>
      <c r="AJ56" s="26" t="s">
        <v>60</v>
      </c>
      <c r="AK56" s="26" t="s">
        <v>57</v>
      </c>
      <c r="AL56" s="101" t="s">
        <v>54</v>
      </c>
      <c r="AM56" s="102" t="s">
        <v>58</v>
      </c>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06"/>
      <c r="C57" s="407"/>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t="s">
        <v>56</v>
      </c>
      <c r="AG57" s="26" t="s">
        <v>56</v>
      </c>
      <c r="AH57" s="439"/>
      <c r="AI57" s="440"/>
      <c r="AJ57" s="26" t="s">
        <v>59</v>
      </c>
      <c r="AK57" s="26" t="s">
        <v>56</v>
      </c>
      <c r="AL57" s="101" t="s">
        <v>55</v>
      </c>
      <c r="AM57" s="102" t="s">
        <v>56</v>
      </c>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04">
        <v>48</v>
      </c>
      <c r="C58" s="405"/>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06"/>
      <c r="C59" s="407"/>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04">
        <v>47</v>
      </c>
      <c r="C60" s="405"/>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06"/>
      <c r="C61" s="407"/>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04">
        <v>46</v>
      </c>
      <c r="C62" s="405"/>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06"/>
      <c r="C63" s="407"/>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7">
    <mergeCell ref="AH56:AI57"/>
    <mergeCell ref="AJ50:AK51"/>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B46:C47"/>
    <mergeCell ref="B44:C45"/>
    <mergeCell ref="B42:C43"/>
    <mergeCell ref="B40:C41"/>
    <mergeCell ref="B38:C39"/>
    <mergeCell ref="T30:U31"/>
    <mergeCell ref="R30:S31"/>
    <mergeCell ref="R26:S27"/>
    <mergeCell ref="T24:U25"/>
    <mergeCell ref="T26:U27"/>
    <mergeCell ref="B26:C27"/>
    <mergeCell ref="B24:C25"/>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B2:BC3"/>
    <mergeCell ref="AZ2:BA3"/>
    <mergeCell ref="AX2:AY3"/>
    <mergeCell ref="AV2:AW3"/>
    <mergeCell ref="AT2:AU3"/>
    <mergeCell ref="AR2:AS3"/>
    <mergeCell ref="AP2:AQ3"/>
    <mergeCell ref="AN2:AO3"/>
    <mergeCell ref="AL2:A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s>
  <conditionalFormatting sqref="AP36 AS10:AS23 AR10:AR24 AH32 AI22:AI29 AH22:AH30 AL36 AQ38:AQ39 AM22:AM33 AL22:AL34 AP38:AP40 AS26:AS35 AR26:AR36 AB34:AC1048576 AD16:AE1048576 AN8:BE9 P6:P24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AH46:AI1048576 AJ30:AK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dimension ref="A1:V1351"/>
  <sheetViews>
    <sheetView workbookViewId="0">
      <pane xSplit="2" ySplit="1" topLeftCell="C2" activePane="bottomRight" state="frozen"/>
      <selection pane="topRight" activeCell="C1" sqref="C1"/>
      <selection pane="bottomLeft" activeCell="A2" sqref="A2"/>
      <selection pane="bottomRight" activeCell="F16" sqref="C2:F16"/>
    </sheetView>
  </sheetViews>
  <sheetFormatPr baseColWidth="10" defaultRowHeight="15"/>
  <cols>
    <col min="10" max="10" width="14.140625" bestFit="1" customWidth="1"/>
  </cols>
  <sheetData>
    <row r="1" spans="1:22">
      <c r="A1" s="7" t="s">
        <v>142</v>
      </c>
      <c r="B1" s="7" t="s">
        <v>143</v>
      </c>
      <c r="C1" s="7" t="s">
        <v>4</v>
      </c>
      <c r="D1" s="7" t="s">
        <v>5</v>
      </c>
      <c r="E1" s="7" t="s">
        <v>6</v>
      </c>
      <c r="F1" s="7" t="s">
        <v>7</v>
      </c>
      <c r="G1" s="7" t="s">
        <v>8</v>
      </c>
      <c r="H1" s="7" t="s">
        <v>9</v>
      </c>
      <c r="I1" s="7" t="s">
        <v>10</v>
      </c>
      <c r="J1" s="7"/>
    </row>
    <row r="2" spans="1:22">
      <c r="A2">
        <v>239</v>
      </c>
      <c r="B2">
        <v>75</v>
      </c>
    </row>
    <row r="3" spans="1:22">
      <c r="A3">
        <v>240</v>
      </c>
      <c r="B3">
        <v>75</v>
      </c>
      <c r="P3" s="299"/>
      <c r="Q3" s="299"/>
      <c r="R3" s="299"/>
      <c r="S3" s="299"/>
      <c r="T3" s="299"/>
      <c r="U3" s="299"/>
      <c r="V3" s="299"/>
    </row>
    <row r="4" spans="1:22">
      <c r="A4">
        <v>241</v>
      </c>
      <c r="B4">
        <v>75</v>
      </c>
      <c r="P4" s="299"/>
      <c r="Q4" s="299"/>
      <c r="R4" s="299"/>
      <c r="S4" s="299"/>
      <c r="T4" s="299"/>
      <c r="U4" s="299"/>
      <c r="V4" s="299"/>
    </row>
    <row r="5" spans="1:22">
      <c r="A5">
        <v>242</v>
      </c>
      <c r="B5">
        <v>75</v>
      </c>
      <c r="P5" s="299"/>
      <c r="Q5" s="299"/>
      <c r="R5" s="299"/>
      <c r="S5" s="299"/>
      <c r="T5" s="299"/>
      <c r="U5" s="299"/>
      <c r="V5" s="299"/>
    </row>
    <row r="6" spans="1:22">
      <c r="A6">
        <v>243</v>
      </c>
      <c r="B6">
        <v>75</v>
      </c>
      <c r="P6" s="299"/>
      <c r="Q6" s="299"/>
      <c r="R6" s="299"/>
      <c r="S6" s="299"/>
      <c r="T6" s="299"/>
      <c r="U6" s="299"/>
      <c r="V6" s="299"/>
    </row>
    <row r="7" spans="1:22">
      <c r="A7">
        <v>244</v>
      </c>
      <c r="B7">
        <v>75</v>
      </c>
      <c r="P7" s="299"/>
      <c r="Q7" s="299"/>
      <c r="R7" s="299"/>
      <c r="S7" s="299"/>
      <c r="T7" s="299"/>
      <c r="U7" s="299"/>
      <c r="V7" s="299"/>
    </row>
    <row r="8" spans="1:22">
      <c r="A8">
        <v>245</v>
      </c>
      <c r="B8">
        <v>75</v>
      </c>
      <c r="P8" s="299"/>
      <c r="Q8" s="299"/>
      <c r="R8" s="299"/>
      <c r="S8" s="299"/>
      <c r="T8" s="299"/>
      <c r="U8" s="299"/>
      <c r="V8" s="299"/>
    </row>
    <row r="9" spans="1:22">
      <c r="A9">
        <v>246</v>
      </c>
      <c r="B9">
        <v>75</v>
      </c>
      <c r="P9" s="299"/>
      <c r="Q9" s="299"/>
      <c r="R9" s="299"/>
      <c r="S9" s="299"/>
      <c r="T9" s="299"/>
      <c r="U9" s="299"/>
      <c r="V9" s="299"/>
    </row>
    <row r="10" spans="1:22">
      <c r="A10">
        <v>247</v>
      </c>
      <c r="B10">
        <v>75</v>
      </c>
      <c r="P10" s="299"/>
      <c r="Q10" s="299"/>
      <c r="R10" s="299"/>
      <c r="S10" s="299"/>
      <c r="T10" s="299"/>
      <c r="U10" s="299"/>
      <c r="V10" s="299"/>
    </row>
    <row r="11" spans="1:22">
      <c r="A11">
        <v>248</v>
      </c>
      <c r="B11">
        <v>75</v>
      </c>
      <c r="P11" s="299"/>
      <c r="Q11" s="299"/>
      <c r="R11" s="299"/>
      <c r="S11" s="299"/>
      <c r="T11" s="299"/>
      <c r="U11" s="299"/>
      <c r="V11" s="299"/>
    </row>
    <row r="12" spans="1:22">
      <c r="A12">
        <v>249</v>
      </c>
      <c r="B12">
        <v>75</v>
      </c>
      <c r="P12" s="299"/>
      <c r="Q12" s="299"/>
      <c r="R12" s="299"/>
      <c r="S12" s="299"/>
      <c r="T12" s="299"/>
      <c r="U12" s="299"/>
      <c r="V12" s="299"/>
    </row>
    <row r="13" spans="1:22">
      <c r="A13">
        <v>250</v>
      </c>
      <c r="B13">
        <v>75</v>
      </c>
      <c r="P13" s="299"/>
      <c r="Q13" s="299"/>
      <c r="R13" s="299"/>
      <c r="S13" s="299"/>
      <c r="T13" s="299"/>
      <c r="U13" s="299"/>
      <c r="V13" s="299"/>
    </row>
    <row r="14" spans="1:22">
      <c r="A14">
        <v>251</v>
      </c>
      <c r="B14">
        <v>75</v>
      </c>
      <c r="P14" s="299"/>
      <c r="Q14" s="299"/>
      <c r="R14" s="299"/>
      <c r="S14" s="299"/>
      <c r="T14" s="299"/>
      <c r="U14" s="299"/>
      <c r="V14" s="299"/>
    </row>
    <row r="15" spans="1:22">
      <c r="A15">
        <v>252</v>
      </c>
      <c r="B15">
        <v>75</v>
      </c>
      <c r="P15" s="299"/>
      <c r="Q15" s="299"/>
      <c r="R15" s="299"/>
      <c r="S15" s="299"/>
      <c r="T15" s="299"/>
      <c r="U15" s="299"/>
      <c r="V15" s="299"/>
    </row>
    <row r="16" spans="1:22">
      <c r="A16">
        <v>253</v>
      </c>
      <c r="B16">
        <v>75</v>
      </c>
      <c r="P16" s="299"/>
      <c r="Q16" s="299"/>
      <c r="R16" s="299"/>
      <c r="S16" s="299"/>
      <c r="T16" s="299"/>
      <c r="U16" s="299"/>
      <c r="V16" s="299"/>
    </row>
    <row r="17" spans="1:22">
      <c r="A17">
        <v>254</v>
      </c>
      <c r="B17">
        <v>75</v>
      </c>
      <c r="P17" s="299"/>
      <c r="Q17" s="299"/>
      <c r="R17" s="299"/>
      <c r="S17" s="299"/>
      <c r="T17" s="299"/>
      <c r="U17" s="299"/>
      <c r="V17" s="299"/>
    </row>
    <row r="18" spans="1:22">
      <c r="A18">
        <v>255</v>
      </c>
      <c r="B18">
        <v>75</v>
      </c>
      <c r="Q18" s="299"/>
      <c r="R18" s="299"/>
      <c r="S18" s="299"/>
      <c r="T18" s="299"/>
      <c r="U18" s="299"/>
      <c r="V18" s="299"/>
    </row>
    <row r="19" spans="1:22">
      <c r="A19">
        <v>256</v>
      </c>
      <c r="B19">
        <v>75</v>
      </c>
    </row>
    <row r="20" spans="1:22">
      <c r="A20">
        <v>257</v>
      </c>
      <c r="B20">
        <v>75</v>
      </c>
    </row>
    <row r="21" spans="1:22">
      <c r="A21">
        <v>258</v>
      </c>
      <c r="B21">
        <v>75</v>
      </c>
    </row>
    <row r="22" spans="1:22">
      <c r="A22">
        <v>259</v>
      </c>
      <c r="B22">
        <v>75</v>
      </c>
    </row>
    <row r="23" spans="1:22">
      <c r="A23">
        <v>260</v>
      </c>
      <c r="B23">
        <v>75</v>
      </c>
    </row>
    <row r="24" spans="1:22">
      <c r="A24">
        <v>261</v>
      </c>
      <c r="B24">
        <v>75</v>
      </c>
    </row>
    <row r="25" spans="1:22">
      <c r="A25">
        <v>262</v>
      </c>
      <c r="B25">
        <v>75</v>
      </c>
    </row>
    <row r="26" spans="1:22">
      <c r="A26">
        <v>263</v>
      </c>
      <c r="B26">
        <v>75</v>
      </c>
    </row>
    <row r="27" spans="1:22">
      <c r="A27">
        <v>264</v>
      </c>
      <c r="B27">
        <v>75</v>
      </c>
    </row>
    <row r="28" spans="1:22">
      <c r="A28">
        <v>265</v>
      </c>
      <c r="B28">
        <v>75</v>
      </c>
    </row>
    <row r="29" spans="1:22">
      <c r="A29">
        <v>266</v>
      </c>
      <c r="B29">
        <v>75</v>
      </c>
    </row>
    <row r="30" spans="1:22">
      <c r="A30">
        <v>267</v>
      </c>
      <c r="B30">
        <v>75</v>
      </c>
    </row>
    <row r="31" spans="1:22">
      <c r="A31">
        <v>268</v>
      </c>
      <c r="B31">
        <v>75</v>
      </c>
    </row>
    <row r="32" spans="1:22">
      <c r="A32">
        <v>269</v>
      </c>
      <c r="B32">
        <v>75</v>
      </c>
    </row>
    <row r="33" spans="1:2">
      <c r="A33">
        <v>270</v>
      </c>
      <c r="B33">
        <v>75</v>
      </c>
    </row>
    <row r="34" spans="1:2">
      <c r="A34">
        <v>271</v>
      </c>
      <c r="B34">
        <v>75</v>
      </c>
    </row>
    <row r="35" spans="1:2">
      <c r="A35">
        <v>272</v>
      </c>
      <c r="B35">
        <v>75</v>
      </c>
    </row>
    <row r="36" spans="1:2">
      <c r="A36">
        <v>273</v>
      </c>
      <c r="B36">
        <v>75</v>
      </c>
    </row>
    <row r="37" spans="1:2">
      <c r="A37">
        <v>274</v>
      </c>
      <c r="B37">
        <v>75</v>
      </c>
    </row>
    <row r="38" spans="1:2">
      <c r="A38">
        <v>275</v>
      </c>
      <c r="B38">
        <v>75</v>
      </c>
    </row>
    <row r="39" spans="1:2">
      <c r="A39">
        <v>276</v>
      </c>
      <c r="B39">
        <v>75</v>
      </c>
    </row>
    <row r="40" spans="1:2">
      <c r="A40">
        <v>277</v>
      </c>
      <c r="B40">
        <v>75</v>
      </c>
    </row>
    <row r="41" spans="1:2">
      <c r="A41">
        <v>278</v>
      </c>
      <c r="B41">
        <v>75</v>
      </c>
    </row>
    <row r="42" spans="1:2">
      <c r="A42">
        <v>279</v>
      </c>
      <c r="B42">
        <v>75</v>
      </c>
    </row>
    <row r="43" spans="1:2">
      <c r="A43">
        <v>280</v>
      </c>
      <c r="B43">
        <v>75</v>
      </c>
    </row>
    <row r="44" spans="1:2">
      <c r="A44">
        <v>281</v>
      </c>
      <c r="B44">
        <v>75</v>
      </c>
    </row>
    <row r="45" spans="1:2">
      <c r="A45">
        <v>282</v>
      </c>
      <c r="B45">
        <v>75</v>
      </c>
    </row>
    <row r="46" spans="1:2">
      <c r="A46">
        <v>283</v>
      </c>
      <c r="B46">
        <v>75</v>
      </c>
    </row>
    <row r="47" spans="1:2">
      <c r="A47">
        <v>239</v>
      </c>
      <c r="B47">
        <v>74</v>
      </c>
    </row>
    <row r="48" spans="1:2">
      <c r="A48">
        <v>240</v>
      </c>
      <c r="B48">
        <v>74</v>
      </c>
    </row>
    <row r="49" spans="1:2">
      <c r="A49">
        <v>241</v>
      </c>
      <c r="B49">
        <v>74</v>
      </c>
    </row>
    <row r="50" spans="1:2">
      <c r="A50">
        <v>242</v>
      </c>
      <c r="B50">
        <v>74</v>
      </c>
    </row>
    <row r="51" spans="1:2">
      <c r="A51">
        <v>243</v>
      </c>
      <c r="B51">
        <v>74</v>
      </c>
    </row>
    <row r="52" spans="1:2">
      <c r="A52">
        <v>244</v>
      </c>
      <c r="B52">
        <v>74</v>
      </c>
    </row>
    <row r="53" spans="1:2">
      <c r="A53">
        <v>245</v>
      </c>
      <c r="B53">
        <v>74</v>
      </c>
    </row>
    <row r="54" spans="1:2">
      <c r="A54">
        <v>246</v>
      </c>
      <c r="B54">
        <v>74</v>
      </c>
    </row>
    <row r="55" spans="1:2">
      <c r="A55">
        <v>247</v>
      </c>
      <c r="B55">
        <v>74</v>
      </c>
    </row>
    <row r="56" spans="1:2">
      <c r="A56">
        <v>248</v>
      </c>
      <c r="B56">
        <v>74</v>
      </c>
    </row>
    <row r="57" spans="1:2">
      <c r="A57">
        <v>249</v>
      </c>
      <c r="B57">
        <v>74</v>
      </c>
    </row>
    <row r="58" spans="1:2">
      <c r="A58">
        <v>250</v>
      </c>
      <c r="B58">
        <v>74</v>
      </c>
    </row>
    <row r="59" spans="1:2">
      <c r="A59">
        <v>251</v>
      </c>
      <c r="B59">
        <v>74</v>
      </c>
    </row>
    <row r="60" spans="1:2">
      <c r="A60">
        <v>252</v>
      </c>
      <c r="B60">
        <v>74</v>
      </c>
    </row>
    <row r="61" spans="1:2">
      <c r="A61">
        <v>253</v>
      </c>
      <c r="B61">
        <v>74</v>
      </c>
    </row>
    <row r="62" spans="1:2">
      <c r="A62">
        <v>254</v>
      </c>
      <c r="B62">
        <v>74</v>
      </c>
    </row>
    <row r="63" spans="1:2">
      <c r="A63">
        <v>255</v>
      </c>
      <c r="B63">
        <v>74</v>
      </c>
    </row>
    <row r="64" spans="1:2">
      <c r="A64">
        <v>256</v>
      </c>
      <c r="B64">
        <v>74</v>
      </c>
    </row>
    <row r="65" spans="1:9">
      <c r="A65">
        <v>257</v>
      </c>
      <c r="B65">
        <v>74</v>
      </c>
      <c r="D65">
        <v>1</v>
      </c>
      <c r="F65">
        <v>2</v>
      </c>
      <c r="I65">
        <v>1</v>
      </c>
    </row>
    <row r="66" spans="1:9">
      <c r="A66">
        <v>258</v>
      </c>
      <c r="B66">
        <v>74</v>
      </c>
      <c r="C66">
        <v>1</v>
      </c>
      <c r="E66">
        <v>1</v>
      </c>
      <c r="F66">
        <v>1</v>
      </c>
      <c r="H66">
        <v>1</v>
      </c>
    </row>
    <row r="67" spans="1:9">
      <c r="A67">
        <v>259</v>
      </c>
      <c r="B67">
        <v>74</v>
      </c>
    </row>
    <row r="68" spans="1:9">
      <c r="A68">
        <v>260</v>
      </c>
      <c r="B68">
        <v>74</v>
      </c>
    </row>
    <row r="69" spans="1:9">
      <c r="A69">
        <v>261</v>
      </c>
      <c r="B69">
        <v>74</v>
      </c>
    </row>
    <row r="70" spans="1:9">
      <c r="A70">
        <v>262</v>
      </c>
      <c r="B70">
        <v>74</v>
      </c>
    </row>
    <row r="71" spans="1:9">
      <c r="A71">
        <v>263</v>
      </c>
      <c r="B71">
        <v>74</v>
      </c>
    </row>
    <row r="72" spans="1:9">
      <c r="A72">
        <v>264</v>
      </c>
      <c r="B72">
        <v>74</v>
      </c>
    </row>
    <row r="73" spans="1:9">
      <c r="A73">
        <v>265</v>
      </c>
      <c r="B73">
        <v>74</v>
      </c>
    </row>
    <row r="74" spans="1:9">
      <c r="A74">
        <v>266</v>
      </c>
      <c r="B74">
        <v>74</v>
      </c>
    </row>
    <row r="75" spans="1:9">
      <c r="A75">
        <v>267</v>
      </c>
      <c r="B75">
        <v>74</v>
      </c>
    </row>
    <row r="76" spans="1:9">
      <c r="A76">
        <v>268</v>
      </c>
      <c r="B76">
        <v>74</v>
      </c>
    </row>
    <row r="77" spans="1:9">
      <c r="A77">
        <v>269</v>
      </c>
      <c r="B77">
        <v>74</v>
      </c>
    </row>
    <row r="78" spans="1:9">
      <c r="A78">
        <v>270</v>
      </c>
      <c r="B78">
        <v>74</v>
      </c>
    </row>
    <row r="79" spans="1:9">
      <c r="A79">
        <v>271</v>
      </c>
      <c r="B79">
        <v>74</v>
      </c>
    </row>
    <row r="80" spans="1:9">
      <c r="A80">
        <v>272</v>
      </c>
      <c r="B80">
        <v>74</v>
      </c>
    </row>
    <row r="81" spans="1:2">
      <c r="A81">
        <v>273</v>
      </c>
      <c r="B81">
        <v>74</v>
      </c>
    </row>
    <row r="82" spans="1:2">
      <c r="A82">
        <v>274</v>
      </c>
      <c r="B82">
        <v>74</v>
      </c>
    </row>
    <row r="83" spans="1:2">
      <c r="A83">
        <v>275</v>
      </c>
      <c r="B83">
        <v>74</v>
      </c>
    </row>
    <row r="84" spans="1:2">
      <c r="A84">
        <v>276</v>
      </c>
      <c r="B84">
        <v>74</v>
      </c>
    </row>
    <row r="85" spans="1:2">
      <c r="A85">
        <v>277</v>
      </c>
      <c r="B85">
        <v>74</v>
      </c>
    </row>
    <row r="86" spans="1:2">
      <c r="A86">
        <v>278</v>
      </c>
      <c r="B86">
        <v>74</v>
      </c>
    </row>
    <row r="87" spans="1:2">
      <c r="A87">
        <v>279</v>
      </c>
      <c r="B87">
        <v>74</v>
      </c>
    </row>
    <row r="88" spans="1:2">
      <c r="A88">
        <v>280</v>
      </c>
      <c r="B88">
        <v>74</v>
      </c>
    </row>
    <row r="89" spans="1:2">
      <c r="A89">
        <v>281</v>
      </c>
      <c r="B89">
        <v>74</v>
      </c>
    </row>
    <row r="90" spans="1:2">
      <c r="A90">
        <v>282</v>
      </c>
      <c r="B90">
        <v>74</v>
      </c>
    </row>
    <row r="91" spans="1:2">
      <c r="A91">
        <v>283</v>
      </c>
      <c r="B91">
        <v>74</v>
      </c>
    </row>
    <row r="92" spans="1:2">
      <c r="A92">
        <v>239</v>
      </c>
      <c r="B92">
        <v>73</v>
      </c>
    </row>
    <row r="93" spans="1:2">
      <c r="A93">
        <v>240</v>
      </c>
      <c r="B93">
        <v>73</v>
      </c>
    </row>
    <row r="94" spans="1:2">
      <c r="A94">
        <v>241</v>
      </c>
      <c r="B94">
        <v>73</v>
      </c>
    </row>
    <row r="95" spans="1:2">
      <c r="A95">
        <v>242</v>
      </c>
      <c r="B95">
        <v>73</v>
      </c>
    </row>
    <row r="96" spans="1:2">
      <c r="A96">
        <v>243</v>
      </c>
      <c r="B96">
        <v>73</v>
      </c>
    </row>
    <row r="97" spans="1:9">
      <c r="A97">
        <v>244</v>
      </c>
      <c r="B97">
        <v>73</v>
      </c>
    </row>
    <row r="98" spans="1:9">
      <c r="A98">
        <v>245</v>
      </c>
      <c r="B98">
        <v>73</v>
      </c>
    </row>
    <row r="99" spans="1:9">
      <c r="A99">
        <v>246</v>
      </c>
      <c r="B99">
        <v>73</v>
      </c>
    </row>
    <row r="100" spans="1:9">
      <c r="A100">
        <v>247</v>
      </c>
      <c r="B100">
        <v>73</v>
      </c>
    </row>
    <row r="101" spans="1:9">
      <c r="A101">
        <v>248</v>
      </c>
      <c r="B101">
        <v>73</v>
      </c>
    </row>
    <row r="102" spans="1:9">
      <c r="A102">
        <v>249</v>
      </c>
      <c r="B102">
        <v>73</v>
      </c>
    </row>
    <row r="103" spans="1:9">
      <c r="A103">
        <v>250</v>
      </c>
      <c r="B103">
        <v>73</v>
      </c>
    </row>
    <row r="104" spans="1:9">
      <c r="A104">
        <v>251</v>
      </c>
      <c r="B104">
        <v>73</v>
      </c>
    </row>
    <row r="105" spans="1:9">
      <c r="A105">
        <v>252</v>
      </c>
      <c r="B105">
        <v>73</v>
      </c>
    </row>
    <row r="106" spans="1:9">
      <c r="A106">
        <v>253</v>
      </c>
      <c r="B106">
        <v>73</v>
      </c>
    </row>
    <row r="107" spans="1:9">
      <c r="A107">
        <v>254</v>
      </c>
      <c r="B107">
        <v>73</v>
      </c>
      <c r="D107">
        <v>1</v>
      </c>
      <c r="E107">
        <v>1</v>
      </c>
      <c r="F107">
        <v>1</v>
      </c>
      <c r="G107">
        <v>1</v>
      </c>
    </row>
    <row r="108" spans="1:9">
      <c r="A108">
        <v>255</v>
      </c>
      <c r="B108">
        <v>73</v>
      </c>
      <c r="F108">
        <v>2</v>
      </c>
      <c r="G108">
        <v>1</v>
      </c>
      <c r="H108">
        <v>1</v>
      </c>
    </row>
    <row r="109" spans="1:9">
      <c r="A109">
        <v>256</v>
      </c>
      <c r="B109">
        <v>73</v>
      </c>
      <c r="F109">
        <v>2</v>
      </c>
      <c r="G109">
        <v>1</v>
      </c>
      <c r="I109">
        <v>1</v>
      </c>
    </row>
    <row r="110" spans="1:9">
      <c r="A110">
        <v>257</v>
      </c>
      <c r="B110">
        <v>73</v>
      </c>
      <c r="D110">
        <v>1</v>
      </c>
      <c r="G110">
        <v>1</v>
      </c>
      <c r="H110">
        <v>1</v>
      </c>
      <c r="I110">
        <v>1</v>
      </c>
    </row>
    <row r="111" spans="1:9">
      <c r="A111">
        <v>258</v>
      </c>
      <c r="B111">
        <v>73</v>
      </c>
    </row>
    <row r="112" spans="1:9">
      <c r="A112">
        <v>259</v>
      </c>
      <c r="B112">
        <v>73</v>
      </c>
      <c r="D112">
        <v>1</v>
      </c>
      <c r="F112">
        <v>1</v>
      </c>
      <c r="I112">
        <v>2</v>
      </c>
    </row>
    <row r="113" spans="1:2">
      <c r="A113">
        <v>260</v>
      </c>
      <c r="B113">
        <v>73</v>
      </c>
    </row>
    <row r="114" spans="1:2">
      <c r="A114">
        <v>261</v>
      </c>
      <c r="B114">
        <v>73</v>
      </c>
    </row>
    <row r="115" spans="1:2">
      <c r="A115">
        <v>262</v>
      </c>
      <c r="B115">
        <v>73</v>
      </c>
    </row>
    <row r="116" spans="1:2">
      <c r="A116">
        <v>263</v>
      </c>
      <c r="B116">
        <v>73</v>
      </c>
    </row>
    <row r="117" spans="1:2">
      <c r="A117">
        <v>264</v>
      </c>
      <c r="B117">
        <v>73</v>
      </c>
    </row>
    <row r="118" spans="1:2">
      <c r="A118">
        <v>265</v>
      </c>
      <c r="B118">
        <v>73</v>
      </c>
    </row>
    <row r="119" spans="1:2">
      <c r="A119">
        <v>266</v>
      </c>
      <c r="B119">
        <v>73</v>
      </c>
    </row>
    <row r="120" spans="1:2">
      <c r="A120">
        <v>267</v>
      </c>
      <c r="B120">
        <v>73</v>
      </c>
    </row>
    <row r="121" spans="1:2">
      <c r="A121">
        <v>268</v>
      </c>
      <c r="B121">
        <v>73</v>
      </c>
    </row>
    <row r="122" spans="1:2">
      <c r="A122">
        <v>269</v>
      </c>
      <c r="B122">
        <v>73</v>
      </c>
    </row>
    <row r="123" spans="1:2">
      <c r="A123">
        <v>270</v>
      </c>
      <c r="B123">
        <v>73</v>
      </c>
    </row>
    <row r="124" spans="1:2">
      <c r="A124">
        <v>271</v>
      </c>
      <c r="B124">
        <v>73</v>
      </c>
    </row>
    <row r="125" spans="1:2">
      <c r="A125">
        <v>272</v>
      </c>
      <c r="B125">
        <v>73</v>
      </c>
    </row>
    <row r="126" spans="1:2">
      <c r="A126">
        <v>273</v>
      </c>
      <c r="B126">
        <v>73</v>
      </c>
    </row>
    <row r="127" spans="1:2">
      <c r="A127">
        <v>274</v>
      </c>
      <c r="B127">
        <v>73</v>
      </c>
    </row>
    <row r="128" spans="1:2">
      <c r="A128">
        <v>275</v>
      </c>
      <c r="B128">
        <v>73</v>
      </c>
    </row>
    <row r="129" spans="1:2">
      <c r="A129">
        <v>276</v>
      </c>
      <c r="B129">
        <v>73</v>
      </c>
    </row>
    <row r="130" spans="1:2">
      <c r="A130">
        <v>277</v>
      </c>
      <c r="B130">
        <v>73</v>
      </c>
    </row>
    <row r="131" spans="1:2">
      <c r="A131">
        <v>278</v>
      </c>
      <c r="B131">
        <v>73</v>
      </c>
    </row>
    <row r="132" spans="1:2">
      <c r="A132">
        <v>279</v>
      </c>
      <c r="B132">
        <v>73</v>
      </c>
    </row>
    <row r="133" spans="1:2">
      <c r="A133">
        <v>280</v>
      </c>
      <c r="B133">
        <v>73</v>
      </c>
    </row>
    <row r="134" spans="1:2">
      <c r="A134">
        <v>281</v>
      </c>
      <c r="B134">
        <v>73</v>
      </c>
    </row>
    <row r="135" spans="1:2">
      <c r="A135">
        <v>282</v>
      </c>
      <c r="B135">
        <v>73</v>
      </c>
    </row>
    <row r="136" spans="1:2">
      <c r="A136">
        <v>283</v>
      </c>
      <c r="B136">
        <v>73</v>
      </c>
    </row>
    <row r="137" spans="1:2">
      <c r="A137">
        <v>239</v>
      </c>
      <c r="B137">
        <v>72</v>
      </c>
    </row>
    <row r="138" spans="1:2">
      <c r="A138">
        <v>240</v>
      </c>
      <c r="B138">
        <v>72</v>
      </c>
    </row>
    <row r="139" spans="1:2">
      <c r="A139">
        <v>241</v>
      </c>
      <c r="B139">
        <v>72</v>
      </c>
    </row>
    <row r="140" spans="1:2">
      <c r="A140">
        <v>242</v>
      </c>
      <c r="B140">
        <v>72</v>
      </c>
    </row>
    <row r="141" spans="1:2">
      <c r="A141">
        <v>243</v>
      </c>
      <c r="B141">
        <v>72</v>
      </c>
    </row>
    <row r="142" spans="1:2">
      <c r="A142">
        <v>244</v>
      </c>
      <c r="B142">
        <v>72</v>
      </c>
    </row>
    <row r="143" spans="1:2">
      <c r="A143">
        <v>245</v>
      </c>
      <c r="B143">
        <v>72</v>
      </c>
    </row>
    <row r="144" spans="1:2">
      <c r="A144">
        <v>246</v>
      </c>
      <c r="B144">
        <v>72</v>
      </c>
    </row>
    <row r="145" spans="1:9">
      <c r="A145">
        <v>247</v>
      </c>
      <c r="B145">
        <v>72</v>
      </c>
    </row>
    <row r="146" spans="1:9">
      <c r="A146">
        <v>248</v>
      </c>
      <c r="B146">
        <v>72</v>
      </c>
    </row>
    <row r="147" spans="1:9">
      <c r="A147">
        <v>249</v>
      </c>
      <c r="B147">
        <v>72</v>
      </c>
    </row>
    <row r="148" spans="1:9">
      <c r="A148">
        <v>250</v>
      </c>
      <c r="B148">
        <v>72</v>
      </c>
    </row>
    <row r="149" spans="1:9">
      <c r="A149">
        <v>251</v>
      </c>
      <c r="B149">
        <v>72</v>
      </c>
    </row>
    <row r="150" spans="1:9">
      <c r="A150">
        <v>252</v>
      </c>
      <c r="B150">
        <v>72</v>
      </c>
    </row>
    <row r="151" spans="1:9">
      <c r="A151">
        <v>253</v>
      </c>
      <c r="B151">
        <v>72</v>
      </c>
      <c r="C151">
        <v>1</v>
      </c>
      <c r="E151">
        <v>1</v>
      </c>
      <c r="F151">
        <v>1</v>
      </c>
      <c r="I151">
        <v>1</v>
      </c>
    </row>
    <row r="152" spans="1:9">
      <c r="A152">
        <v>254</v>
      </c>
      <c r="B152">
        <v>72</v>
      </c>
      <c r="F152">
        <v>2</v>
      </c>
      <c r="G152">
        <v>1</v>
      </c>
      <c r="I152">
        <v>1</v>
      </c>
    </row>
    <row r="153" spans="1:9">
      <c r="A153">
        <v>255</v>
      </c>
      <c r="B153">
        <v>72</v>
      </c>
      <c r="C153">
        <v>1</v>
      </c>
      <c r="D153">
        <v>1</v>
      </c>
      <c r="F153">
        <v>1</v>
      </c>
      <c r="H153">
        <v>1</v>
      </c>
    </row>
    <row r="154" spans="1:9">
      <c r="A154">
        <v>256</v>
      </c>
      <c r="B154">
        <v>72</v>
      </c>
      <c r="C154">
        <v>1</v>
      </c>
      <c r="D154">
        <v>1</v>
      </c>
      <c r="E154">
        <v>1</v>
      </c>
      <c r="G154">
        <v>1</v>
      </c>
    </row>
    <row r="155" spans="1:9">
      <c r="A155">
        <v>257</v>
      </c>
      <c r="B155">
        <v>72</v>
      </c>
      <c r="C155">
        <v>1</v>
      </c>
      <c r="E155">
        <v>2</v>
      </c>
      <c r="H155">
        <v>1</v>
      </c>
    </row>
    <row r="156" spans="1:9">
      <c r="A156">
        <v>258</v>
      </c>
      <c r="B156">
        <v>72</v>
      </c>
    </row>
    <row r="157" spans="1:9">
      <c r="A157">
        <v>259</v>
      </c>
      <c r="B157">
        <v>72</v>
      </c>
      <c r="D157">
        <v>1</v>
      </c>
      <c r="E157">
        <v>1</v>
      </c>
      <c r="F157">
        <v>2</v>
      </c>
    </row>
    <row r="158" spans="1:9">
      <c r="A158">
        <v>260</v>
      </c>
      <c r="B158">
        <v>72</v>
      </c>
    </row>
    <row r="159" spans="1:9">
      <c r="A159">
        <v>261</v>
      </c>
      <c r="B159">
        <v>72</v>
      </c>
    </row>
    <row r="160" spans="1:9">
      <c r="A160">
        <v>262</v>
      </c>
      <c r="B160">
        <v>72</v>
      </c>
    </row>
    <row r="161" spans="1:8">
      <c r="A161">
        <v>263</v>
      </c>
      <c r="B161">
        <v>72</v>
      </c>
    </row>
    <row r="162" spans="1:8">
      <c r="A162">
        <v>264</v>
      </c>
      <c r="B162">
        <v>72</v>
      </c>
    </row>
    <row r="163" spans="1:8">
      <c r="A163">
        <v>265</v>
      </c>
      <c r="B163">
        <v>72</v>
      </c>
      <c r="C163">
        <v>1</v>
      </c>
      <c r="G163">
        <v>2</v>
      </c>
      <c r="H163">
        <v>1</v>
      </c>
    </row>
    <row r="164" spans="1:8">
      <c r="A164">
        <v>266</v>
      </c>
      <c r="B164">
        <v>72</v>
      </c>
    </row>
    <row r="165" spans="1:8">
      <c r="A165">
        <v>267</v>
      </c>
      <c r="B165">
        <v>72</v>
      </c>
    </row>
    <row r="166" spans="1:8">
      <c r="A166">
        <v>268</v>
      </c>
      <c r="B166">
        <v>72</v>
      </c>
    </row>
    <row r="167" spans="1:8">
      <c r="A167">
        <v>269</v>
      </c>
      <c r="B167">
        <v>72</v>
      </c>
    </row>
    <row r="168" spans="1:8">
      <c r="A168">
        <v>270</v>
      </c>
      <c r="B168">
        <v>72</v>
      </c>
    </row>
    <row r="169" spans="1:8">
      <c r="A169">
        <v>271</v>
      </c>
      <c r="B169">
        <v>72</v>
      </c>
    </row>
    <row r="170" spans="1:8">
      <c r="A170">
        <v>272</v>
      </c>
      <c r="B170">
        <v>72</v>
      </c>
    </row>
    <row r="171" spans="1:8">
      <c r="A171">
        <v>273</v>
      </c>
      <c r="B171">
        <v>72</v>
      </c>
    </row>
    <row r="172" spans="1:8">
      <c r="A172">
        <v>274</v>
      </c>
      <c r="B172">
        <v>72</v>
      </c>
    </row>
    <row r="173" spans="1:8">
      <c r="A173">
        <v>275</v>
      </c>
      <c r="B173">
        <v>72</v>
      </c>
    </row>
    <row r="174" spans="1:8">
      <c r="A174">
        <v>276</v>
      </c>
      <c r="B174">
        <v>72</v>
      </c>
    </row>
    <row r="175" spans="1:8">
      <c r="A175">
        <v>277</v>
      </c>
      <c r="B175">
        <v>72</v>
      </c>
    </row>
    <row r="176" spans="1:8">
      <c r="A176">
        <v>278</v>
      </c>
      <c r="B176">
        <v>72</v>
      </c>
    </row>
    <row r="177" spans="1:2">
      <c r="A177">
        <v>279</v>
      </c>
      <c r="B177">
        <v>72</v>
      </c>
    </row>
    <row r="178" spans="1:2">
      <c r="A178">
        <v>280</v>
      </c>
      <c r="B178">
        <v>72</v>
      </c>
    </row>
    <row r="179" spans="1:2">
      <c r="A179">
        <v>281</v>
      </c>
      <c r="B179">
        <v>72</v>
      </c>
    </row>
    <row r="180" spans="1:2">
      <c r="A180">
        <v>282</v>
      </c>
      <c r="B180">
        <v>72</v>
      </c>
    </row>
    <row r="181" spans="1:2">
      <c r="A181">
        <v>283</v>
      </c>
      <c r="B181">
        <v>72</v>
      </c>
    </row>
    <row r="182" spans="1:2">
      <c r="A182">
        <v>239</v>
      </c>
      <c r="B182">
        <v>71</v>
      </c>
    </row>
    <row r="183" spans="1:2">
      <c r="A183">
        <v>240</v>
      </c>
      <c r="B183">
        <v>71</v>
      </c>
    </row>
    <row r="184" spans="1:2">
      <c r="A184">
        <v>241</v>
      </c>
      <c r="B184">
        <v>71</v>
      </c>
    </row>
    <row r="185" spans="1:2">
      <c r="A185">
        <v>242</v>
      </c>
      <c r="B185">
        <v>71</v>
      </c>
    </row>
    <row r="186" spans="1:2">
      <c r="A186">
        <v>243</v>
      </c>
      <c r="B186">
        <v>71</v>
      </c>
    </row>
    <row r="187" spans="1:2">
      <c r="A187">
        <v>244</v>
      </c>
      <c r="B187">
        <v>71</v>
      </c>
    </row>
    <row r="188" spans="1:2">
      <c r="A188">
        <v>245</v>
      </c>
      <c r="B188">
        <v>71</v>
      </c>
    </row>
    <row r="189" spans="1:2">
      <c r="A189">
        <v>246</v>
      </c>
      <c r="B189">
        <v>71</v>
      </c>
    </row>
    <row r="190" spans="1:2">
      <c r="A190">
        <v>247</v>
      </c>
      <c r="B190">
        <v>71</v>
      </c>
    </row>
    <row r="191" spans="1:2">
      <c r="A191">
        <v>248</v>
      </c>
      <c r="B191">
        <v>71</v>
      </c>
    </row>
    <row r="192" spans="1:2">
      <c r="A192">
        <v>249</v>
      </c>
      <c r="B192">
        <v>71</v>
      </c>
    </row>
    <row r="193" spans="1:9">
      <c r="A193">
        <v>250</v>
      </c>
      <c r="B193">
        <v>71</v>
      </c>
    </row>
    <row r="194" spans="1:9">
      <c r="A194">
        <v>251</v>
      </c>
      <c r="B194">
        <v>71</v>
      </c>
    </row>
    <row r="195" spans="1:9">
      <c r="A195">
        <v>252</v>
      </c>
      <c r="B195">
        <v>71</v>
      </c>
    </row>
    <row r="196" spans="1:9">
      <c r="A196">
        <v>253</v>
      </c>
      <c r="B196">
        <v>71</v>
      </c>
    </row>
    <row r="197" spans="1:9">
      <c r="A197">
        <v>254</v>
      </c>
      <c r="B197">
        <v>71</v>
      </c>
      <c r="D197">
        <v>1</v>
      </c>
      <c r="G197">
        <v>1</v>
      </c>
      <c r="H197">
        <v>1</v>
      </c>
      <c r="I197">
        <v>1</v>
      </c>
    </row>
    <row r="198" spans="1:9">
      <c r="A198">
        <v>255</v>
      </c>
      <c r="B198">
        <v>71</v>
      </c>
    </row>
    <row r="199" spans="1:9">
      <c r="A199">
        <v>256</v>
      </c>
      <c r="B199">
        <v>71</v>
      </c>
      <c r="C199">
        <v>1</v>
      </c>
      <c r="D199">
        <v>1</v>
      </c>
      <c r="E199">
        <v>1</v>
      </c>
      <c r="F199">
        <v>1</v>
      </c>
    </row>
    <row r="200" spans="1:9">
      <c r="A200">
        <v>257</v>
      </c>
      <c r="B200">
        <v>71</v>
      </c>
    </row>
    <row r="201" spans="1:9">
      <c r="A201">
        <v>258</v>
      </c>
      <c r="B201">
        <v>71</v>
      </c>
    </row>
    <row r="202" spans="1:9">
      <c r="A202">
        <v>259</v>
      </c>
      <c r="B202">
        <v>71</v>
      </c>
      <c r="C202">
        <v>1</v>
      </c>
      <c r="D202">
        <v>1</v>
      </c>
      <c r="G202">
        <v>1</v>
      </c>
      <c r="I202">
        <v>1</v>
      </c>
    </row>
    <row r="203" spans="1:9">
      <c r="A203">
        <v>260</v>
      </c>
      <c r="B203">
        <v>71</v>
      </c>
    </row>
    <row r="204" spans="1:9">
      <c r="A204">
        <v>261</v>
      </c>
      <c r="B204">
        <v>71</v>
      </c>
    </row>
    <row r="205" spans="1:9">
      <c r="A205">
        <v>262</v>
      </c>
      <c r="B205">
        <v>71</v>
      </c>
    </row>
    <row r="206" spans="1:9">
      <c r="A206">
        <v>263</v>
      </c>
      <c r="B206">
        <v>71</v>
      </c>
    </row>
    <row r="207" spans="1:9">
      <c r="A207">
        <v>264</v>
      </c>
      <c r="B207">
        <v>71</v>
      </c>
      <c r="C207">
        <v>1</v>
      </c>
      <c r="E207">
        <v>1</v>
      </c>
      <c r="G207">
        <v>1</v>
      </c>
      <c r="H207">
        <v>1</v>
      </c>
    </row>
    <row r="208" spans="1:9">
      <c r="A208">
        <v>265</v>
      </c>
      <c r="B208">
        <v>71</v>
      </c>
      <c r="F208">
        <v>2</v>
      </c>
      <c r="H208">
        <v>1</v>
      </c>
      <c r="I208">
        <v>1</v>
      </c>
    </row>
    <row r="209" spans="1:2">
      <c r="A209">
        <v>266</v>
      </c>
      <c r="B209">
        <v>71</v>
      </c>
    </row>
    <row r="210" spans="1:2">
      <c r="A210">
        <v>267</v>
      </c>
      <c r="B210">
        <v>71</v>
      </c>
    </row>
    <row r="211" spans="1:2">
      <c r="A211">
        <v>268</v>
      </c>
      <c r="B211">
        <v>71</v>
      </c>
    </row>
    <row r="212" spans="1:2">
      <c r="A212">
        <v>269</v>
      </c>
      <c r="B212">
        <v>71</v>
      </c>
    </row>
    <row r="213" spans="1:2">
      <c r="A213">
        <v>270</v>
      </c>
      <c r="B213">
        <v>71</v>
      </c>
    </row>
    <row r="214" spans="1:2">
      <c r="A214">
        <v>271</v>
      </c>
      <c r="B214">
        <v>71</v>
      </c>
    </row>
    <row r="215" spans="1:2">
      <c r="A215">
        <v>272</v>
      </c>
      <c r="B215">
        <v>71</v>
      </c>
    </row>
    <row r="216" spans="1:2">
      <c r="A216">
        <v>273</v>
      </c>
      <c r="B216">
        <v>71</v>
      </c>
    </row>
    <row r="217" spans="1:2">
      <c r="A217">
        <v>274</v>
      </c>
      <c r="B217">
        <v>71</v>
      </c>
    </row>
    <row r="218" spans="1:2">
      <c r="A218">
        <v>275</v>
      </c>
      <c r="B218">
        <v>71</v>
      </c>
    </row>
    <row r="219" spans="1:2">
      <c r="A219">
        <v>276</v>
      </c>
      <c r="B219">
        <v>71</v>
      </c>
    </row>
    <row r="220" spans="1:2">
      <c r="A220">
        <v>277</v>
      </c>
      <c r="B220">
        <v>71</v>
      </c>
    </row>
    <row r="221" spans="1:2">
      <c r="A221">
        <v>278</v>
      </c>
      <c r="B221">
        <v>71</v>
      </c>
    </row>
    <row r="222" spans="1:2">
      <c r="A222">
        <v>279</v>
      </c>
      <c r="B222">
        <v>71</v>
      </c>
    </row>
    <row r="223" spans="1:2">
      <c r="A223">
        <v>280</v>
      </c>
      <c r="B223">
        <v>71</v>
      </c>
    </row>
    <row r="224" spans="1:2">
      <c r="A224">
        <v>281</v>
      </c>
      <c r="B224">
        <v>71</v>
      </c>
    </row>
    <row r="225" spans="1:2">
      <c r="A225">
        <v>282</v>
      </c>
      <c r="B225">
        <v>71</v>
      </c>
    </row>
    <row r="226" spans="1:2">
      <c r="A226">
        <v>283</v>
      </c>
      <c r="B226">
        <v>71</v>
      </c>
    </row>
    <row r="227" spans="1:2">
      <c r="A227">
        <v>239</v>
      </c>
      <c r="B227">
        <v>70</v>
      </c>
    </row>
    <row r="228" spans="1:2">
      <c r="A228">
        <v>240</v>
      </c>
      <c r="B228">
        <v>70</v>
      </c>
    </row>
    <row r="229" spans="1:2">
      <c r="A229">
        <v>241</v>
      </c>
      <c r="B229">
        <v>70</v>
      </c>
    </row>
    <row r="230" spans="1:2">
      <c r="A230">
        <v>242</v>
      </c>
      <c r="B230">
        <v>70</v>
      </c>
    </row>
    <row r="231" spans="1:2">
      <c r="A231">
        <v>243</v>
      </c>
      <c r="B231">
        <v>70</v>
      </c>
    </row>
    <row r="232" spans="1:2">
      <c r="A232">
        <v>244</v>
      </c>
      <c r="B232">
        <v>70</v>
      </c>
    </row>
    <row r="233" spans="1:2">
      <c r="A233">
        <v>245</v>
      </c>
      <c r="B233">
        <v>70</v>
      </c>
    </row>
    <row r="234" spans="1:2">
      <c r="A234">
        <v>246</v>
      </c>
      <c r="B234">
        <v>70</v>
      </c>
    </row>
    <row r="235" spans="1:2">
      <c r="A235">
        <v>247</v>
      </c>
      <c r="B235">
        <v>70</v>
      </c>
    </row>
    <row r="236" spans="1:2">
      <c r="A236">
        <v>248</v>
      </c>
      <c r="B236">
        <v>70</v>
      </c>
    </row>
    <row r="237" spans="1:2">
      <c r="A237">
        <v>249</v>
      </c>
      <c r="B237">
        <v>70</v>
      </c>
    </row>
    <row r="238" spans="1:2">
      <c r="A238">
        <v>250</v>
      </c>
      <c r="B238">
        <v>70</v>
      </c>
    </row>
    <row r="239" spans="1:2">
      <c r="A239">
        <v>251</v>
      </c>
      <c r="B239">
        <v>70</v>
      </c>
    </row>
    <row r="240" spans="1:2">
      <c r="A240">
        <v>252</v>
      </c>
      <c r="B240">
        <v>70</v>
      </c>
    </row>
    <row r="241" spans="1:9">
      <c r="A241">
        <v>253</v>
      </c>
      <c r="B241">
        <v>70</v>
      </c>
    </row>
    <row r="242" spans="1:9">
      <c r="A242">
        <v>254</v>
      </c>
      <c r="B242">
        <v>70</v>
      </c>
      <c r="G242">
        <v>1</v>
      </c>
      <c r="H242">
        <v>1</v>
      </c>
      <c r="I242">
        <v>2</v>
      </c>
    </row>
    <row r="243" spans="1:9">
      <c r="A243">
        <v>255</v>
      </c>
      <c r="B243">
        <v>70</v>
      </c>
    </row>
    <row r="244" spans="1:9">
      <c r="A244">
        <v>256</v>
      </c>
      <c r="B244">
        <v>70</v>
      </c>
      <c r="C244">
        <v>1</v>
      </c>
      <c r="F244">
        <v>1</v>
      </c>
      <c r="G244">
        <v>1</v>
      </c>
      <c r="I244">
        <v>1</v>
      </c>
    </row>
    <row r="245" spans="1:9">
      <c r="A245">
        <v>257</v>
      </c>
      <c r="B245">
        <v>70</v>
      </c>
      <c r="F245">
        <v>1</v>
      </c>
      <c r="G245">
        <v>1</v>
      </c>
      <c r="I245">
        <v>2</v>
      </c>
    </row>
    <row r="246" spans="1:9">
      <c r="A246">
        <v>258</v>
      </c>
      <c r="B246">
        <v>70</v>
      </c>
      <c r="D246">
        <v>1</v>
      </c>
      <c r="E246">
        <v>1</v>
      </c>
      <c r="I246">
        <v>2</v>
      </c>
    </row>
    <row r="247" spans="1:9">
      <c r="A247">
        <v>259</v>
      </c>
      <c r="B247">
        <v>70</v>
      </c>
      <c r="D247">
        <v>1</v>
      </c>
      <c r="E247">
        <v>1</v>
      </c>
      <c r="H247">
        <v>1</v>
      </c>
      <c r="I247">
        <v>1</v>
      </c>
    </row>
    <row r="248" spans="1:9">
      <c r="A248">
        <v>260</v>
      </c>
      <c r="B248">
        <v>70</v>
      </c>
      <c r="E248">
        <v>1</v>
      </c>
      <c r="F248">
        <v>1</v>
      </c>
      <c r="G248">
        <v>1</v>
      </c>
      <c r="I248">
        <v>1</v>
      </c>
    </row>
    <row r="249" spans="1:9">
      <c r="A249">
        <v>261</v>
      </c>
      <c r="B249">
        <v>70</v>
      </c>
    </row>
    <row r="250" spans="1:9">
      <c r="A250">
        <v>262</v>
      </c>
      <c r="B250">
        <v>70</v>
      </c>
    </row>
    <row r="251" spans="1:9">
      <c r="A251">
        <v>263</v>
      </c>
      <c r="B251">
        <v>70</v>
      </c>
    </row>
    <row r="252" spans="1:9">
      <c r="A252">
        <v>264</v>
      </c>
      <c r="B252">
        <v>70</v>
      </c>
      <c r="E252">
        <v>1</v>
      </c>
      <c r="G252">
        <v>2</v>
      </c>
      <c r="I252">
        <v>1</v>
      </c>
    </row>
    <row r="253" spans="1:9">
      <c r="A253">
        <v>265</v>
      </c>
      <c r="B253">
        <v>70</v>
      </c>
      <c r="F253">
        <v>1</v>
      </c>
      <c r="H253">
        <v>2</v>
      </c>
      <c r="I253">
        <v>1</v>
      </c>
    </row>
    <row r="254" spans="1:9">
      <c r="A254">
        <v>266</v>
      </c>
      <c r="B254">
        <v>70</v>
      </c>
      <c r="C254">
        <v>1</v>
      </c>
      <c r="F254">
        <v>2</v>
      </c>
      <c r="G254">
        <v>1</v>
      </c>
    </row>
    <row r="255" spans="1:9">
      <c r="A255">
        <v>267</v>
      </c>
      <c r="B255">
        <v>70</v>
      </c>
      <c r="E255">
        <v>1</v>
      </c>
      <c r="F255">
        <v>1</v>
      </c>
      <c r="G255">
        <v>1</v>
      </c>
      <c r="H255">
        <v>1</v>
      </c>
    </row>
    <row r="256" spans="1:9">
      <c r="A256">
        <v>268</v>
      </c>
      <c r="B256">
        <v>70</v>
      </c>
    </row>
    <row r="257" spans="1:2">
      <c r="A257">
        <v>269</v>
      </c>
      <c r="B257">
        <v>70</v>
      </c>
    </row>
    <row r="258" spans="1:2">
      <c r="A258">
        <v>270</v>
      </c>
      <c r="B258">
        <v>70</v>
      </c>
    </row>
    <row r="259" spans="1:2">
      <c r="A259">
        <v>271</v>
      </c>
      <c r="B259">
        <v>70</v>
      </c>
    </row>
    <row r="260" spans="1:2">
      <c r="A260">
        <v>272</v>
      </c>
      <c r="B260">
        <v>70</v>
      </c>
    </row>
    <row r="261" spans="1:2">
      <c r="A261">
        <v>273</v>
      </c>
      <c r="B261">
        <v>70</v>
      </c>
    </row>
    <row r="262" spans="1:2">
      <c r="A262">
        <v>274</v>
      </c>
      <c r="B262">
        <v>70</v>
      </c>
    </row>
    <row r="263" spans="1:2">
      <c r="A263">
        <v>275</v>
      </c>
      <c r="B263">
        <v>70</v>
      </c>
    </row>
    <row r="264" spans="1:2">
      <c r="A264">
        <v>276</v>
      </c>
      <c r="B264">
        <v>70</v>
      </c>
    </row>
    <row r="265" spans="1:2">
      <c r="A265">
        <v>277</v>
      </c>
      <c r="B265">
        <v>70</v>
      </c>
    </row>
    <row r="266" spans="1:2">
      <c r="A266">
        <v>278</v>
      </c>
      <c r="B266">
        <v>70</v>
      </c>
    </row>
    <row r="267" spans="1:2">
      <c r="A267">
        <v>279</v>
      </c>
      <c r="B267">
        <v>70</v>
      </c>
    </row>
    <row r="268" spans="1:2">
      <c r="A268">
        <v>280</v>
      </c>
      <c r="B268">
        <v>70</v>
      </c>
    </row>
    <row r="269" spans="1:2">
      <c r="A269">
        <v>281</v>
      </c>
      <c r="B269">
        <v>70</v>
      </c>
    </row>
    <row r="270" spans="1:2">
      <c r="A270">
        <v>282</v>
      </c>
      <c r="B270">
        <v>70</v>
      </c>
    </row>
    <row r="271" spans="1:2">
      <c r="A271">
        <v>283</v>
      </c>
      <c r="B271">
        <v>70</v>
      </c>
    </row>
    <row r="272" spans="1:2">
      <c r="A272">
        <v>239</v>
      </c>
      <c r="B272">
        <v>69</v>
      </c>
    </row>
    <row r="273" spans="1:9">
      <c r="A273">
        <v>240</v>
      </c>
      <c r="B273">
        <v>69</v>
      </c>
    </row>
    <row r="274" spans="1:9">
      <c r="A274">
        <v>241</v>
      </c>
      <c r="B274">
        <v>69</v>
      </c>
    </row>
    <row r="275" spans="1:9">
      <c r="A275">
        <v>242</v>
      </c>
      <c r="B275">
        <v>69</v>
      </c>
    </row>
    <row r="276" spans="1:9">
      <c r="A276">
        <v>243</v>
      </c>
      <c r="B276">
        <v>69</v>
      </c>
    </row>
    <row r="277" spans="1:9">
      <c r="A277">
        <v>244</v>
      </c>
      <c r="B277">
        <v>69</v>
      </c>
    </row>
    <row r="278" spans="1:9">
      <c r="A278">
        <v>245</v>
      </c>
      <c r="B278">
        <v>69</v>
      </c>
    </row>
    <row r="279" spans="1:9">
      <c r="A279">
        <v>246</v>
      </c>
      <c r="B279">
        <v>69</v>
      </c>
    </row>
    <row r="280" spans="1:9">
      <c r="A280">
        <v>247</v>
      </c>
      <c r="B280">
        <v>69</v>
      </c>
    </row>
    <row r="281" spans="1:9">
      <c r="A281">
        <v>248</v>
      </c>
      <c r="B281">
        <v>69</v>
      </c>
    </row>
    <row r="282" spans="1:9">
      <c r="A282">
        <v>249</v>
      </c>
      <c r="B282">
        <v>69</v>
      </c>
    </row>
    <row r="283" spans="1:9">
      <c r="A283">
        <v>250</v>
      </c>
      <c r="B283">
        <v>69</v>
      </c>
    </row>
    <row r="284" spans="1:9">
      <c r="A284">
        <v>251</v>
      </c>
      <c r="B284">
        <v>69</v>
      </c>
      <c r="D284">
        <v>2</v>
      </c>
      <c r="F284">
        <v>1</v>
      </c>
      <c r="I284">
        <v>1</v>
      </c>
    </row>
    <row r="285" spans="1:9">
      <c r="A285">
        <v>252</v>
      </c>
      <c r="B285">
        <v>69</v>
      </c>
      <c r="E285">
        <v>1</v>
      </c>
      <c r="F285">
        <v>2</v>
      </c>
      <c r="G285">
        <v>1</v>
      </c>
    </row>
    <row r="286" spans="1:9">
      <c r="A286">
        <v>253</v>
      </c>
      <c r="B286">
        <v>69</v>
      </c>
    </row>
    <row r="287" spans="1:9">
      <c r="A287">
        <v>254</v>
      </c>
      <c r="B287">
        <v>69</v>
      </c>
      <c r="D287">
        <v>1</v>
      </c>
      <c r="F287">
        <v>1</v>
      </c>
      <c r="H287">
        <v>1</v>
      </c>
      <c r="I287">
        <v>1</v>
      </c>
    </row>
    <row r="288" spans="1:9">
      <c r="A288">
        <v>255</v>
      </c>
      <c r="B288">
        <v>69</v>
      </c>
      <c r="D288">
        <v>1</v>
      </c>
      <c r="E288">
        <v>1</v>
      </c>
      <c r="F288">
        <v>1</v>
      </c>
      <c r="I288">
        <v>1</v>
      </c>
    </row>
    <row r="289" spans="1:9">
      <c r="A289">
        <v>256</v>
      </c>
      <c r="B289">
        <v>69</v>
      </c>
      <c r="D289">
        <v>1</v>
      </c>
      <c r="E289">
        <v>1</v>
      </c>
      <c r="G289">
        <v>1</v>
      </c>
      <c r="I289">
        <v>1</v>
      </c>
    </row>
    <row r="290" spans="1:9">
      <c r="A290">
        <v>257</v>
      </c>
      <c r="B290">
        <v>69</v>
      </c>
    </row>
    <row r="291" spans="1:9">
      <c r="A291">
        <v>258</v>
      </c>
      <c r="B291">
        <v>69</v>
      </c>
      <c r="C291">
        <v>1</v>
      </c>
      <c r="D291">
        <v>1</v>
      </c>
      <c r="E291">
        <v>1</v>
      </c>
      <c r="H291">
        <v>1</v>
      </c>
    </row>
    <row r="292" spans="1:9">
      <c r="A292">
        <v>259</v>
      </c>
      <c r="B292">
        <v>69</v>
      </c>
      <c r="G292">
        <v>1</v>
      </c>
      <c r="H292">
        <v>1</v>
      </c>
      <c r="I292">
        <v>2</v>
      </c>
    </row>
    <row r="293" spans="1:9">
      <c r="A293">
        <v>260</v>
      </c>
      <c r="B293">
        <v>69</v>
      </c>
      <c r="D293">
        <v>1</v>
      </c>
      <c r="E293">
        <v>1</v>
      </c>
      <c r="G293">
        <v>1</v>
      </c>
      <c r="I293">
        <v>1</v>
      </c>
    </row>
    <row r="294" spans="1:9">
      <c r="A294">
        <v>261</v>
      </c>
      <c r="B294">
        <v>69</v>
      </c>
      <c r="D294">
        <v>1</v>
      </c>
      <c r="H294">
        <v>2</v>
      </c>
      <c r="I294">
        <v>1</v>
      </c>
    </row>
    <row r="295" spans="1:9">
      <c r="A295">
        <v>262</v>
      </c>
      <c r="B295">
        <v>69</v>
      </c>
      <c r="D295">
        <v>1</v>
      </c>
      <c r="F295">
        <v>1</v>
      </c>
      <c r="G295">
        <v>1</v>
      </c>
      <c r="I295">
        <v>1</v>
      </c>
    </row>
    <row r="296" spans="1:9">
      <c r="A296">
        <v>263</v>
      </c>
      <c r="B296">
        <v>69</v>
      </c>
      <c r="D296">
        <v>2</v>
      </c>
      <c r="F296">
        <v>1</v>
      </c>
      <c r="G296">
        <v>1</v>
      </c>
    </row>
    <row r="297" spans="1:9">
      <c r="A297">
        <v>264</v>
      </c>
      <c r="B297">
        <v>69</v>
      </c>
      <c r="C297">
        <v>1</v>
      </c>
      <c r="D297">
        <v>1</v>
      </c>
      <c r="H297">
        <v>2</v>
      </c>
    </row>
    <row r="298" spans="1:9">
      <c r="A298">
        <v>265</v>
      </c>
      <c r="B298">
        <v>69</v>
      </c>
      <c r="C298">
        <v>1</v>
      </c>
      <c r="F298">
        <v>1</v>
      </c>
      <c r="G298">
        <v>1</v>
      </c>
      <c r="H298">
        <v>1</v>
      </c>
    </row>
    <row r="299" spans="1:9">
      <c r="A299">
        <v>266</v>
      </c>
      <c r="B299">
        <v>69</v>
      </c>
      <c r="E299">
        <v>2</v>
      </c>
      <c r="H299">
        <v>1</v>
      </c>
      <c r="I299">
        <v>1</v>
      </c>
    </row>
    <row r="300" spans="1:9">
      <c r="A300">
        <v>267</v>
      </c>
      <c r="B300">
        <v>69</v>
      </c>
      <c r="C300">
        <v>1</v>
      </c>
      <c r="G300">
        <v>1</v>
      </c>
      <c r="H300">
        <v>2</v>
      </c>
    </row>
    <row r="301" spans="1:9">
      <c r="A301">
        <v>268</v>
      </c>
      <c r="B301">
        <v>69</v>
      </c>
      <c r="C301">
        <v>1</v>
      </c>
      <c r="E301">
        <v>2</v>
      </c>
      <c r="I301">
        <v>1</v>
      </c>
    </row>
    <row r="302" spans="1:9">
      <c r="A302">
        <v>269</v>
      </c>
      <c r="B302">
        <v>69</v>
      </c>
      <c r="C302">
        <v>1</v>
      </c>
      <c r="D302">
        <v>2</v>
      </c>
      <c r="E302">
        <v>1</v>
      </c>
    </row>
    <row r="303" spans="1:9">
      <c r="A303">
        <v>270</v>
      </c>
      <c r="B303">
        <v>69</v>
      </c>
    </row>
    <row r="304" spans="1:9">
      <c r="A304">
        <v>271</v>
      </c>
      <c r="B304">
        <v>69</v>
      </c>
    </row>
    <row r="305" spans="1:2">
      <c r="A305">
        <v>272</v>
      </c>
      <c r="B305">
        <v>69</v>
      </c>
    </row>
    <row r="306" spans="1:2">
      <c r="A306">
        <v>273</v>
      </c>
      <c r="B306">
        <v>69</v>
      </c>
    </row>
    <row r="307" spans="1:2">
      <c r="A307">
        <v>274</v>
      </c>
      <c r="B307">
        <v>69</v>
      </c>
    </row>
    <row r="308" spans="1:2">
      <c r="A308">
        <v>275</v>
      </c>
      <c r="B308">
        <v>69</v>
      </c>
    </row>
    <row r="309" spans="1:2">
      <c r="A309">
        <v>276</v>
      </c>
      <c r="B309">
        <v>69</v>
      </c>
    </row>
    <row r="310" spans="1:2">
      <c r="A310">
        <v>277</v>
      </c>
      <c r="B310">
        <v>69</v>
      </c>
    </row>
    <row r="311" spans="1:2">
      <c r="A311">
        <v>278</v>
      </c>
      <c r="B311">
        <v>69</v>
      </c>
    </row>
    <row r="312" spans="1:2">
      <c r="A312">
        <v>279</v>
      </c>
      <c r="B312">
        <v>69</v>
      </c>
    </row>
    <row r="313" spans="1:2">
      <c r="A313">
        <v>280</v>
      </c>
      <c r="B313">
        <v>69</v>
      </c>
    </row>
    <row r="314" spans="1:2">
      <c r="A314">
        <v>281</v>
      </c>
      <c r="B314">
        <v>69</v>
      </c>
    </row>
    <row r="315" spans="1:2">
      <c r="A315">
        <v>282</v>
      </c>
      <c r="B315">
        <v>69</v>
      </c>
    </row>
    <row r="316" spans="1:2">
      <c r="A316">
        <v>283</v>
      </c>
      <c r="B316">
        <v>69</v>
      </c>
    </row>
    <row r="317" spans="1:2">
      <c r="A317">
        <v>239</v>
      </c>
      <c r="B317">
        <v>68</v>
      </c>
    </row>
    <row r="318" spans="1:2">
      <c r="A318">
        <v>240</v>
      </c>
      <c r="B318">
        <v>68</v>
      </c>
    </row>
    <row r="319" spans="1:2">
      <c r="A319">
        <v>241</v>
      </c>
      <c r="B319">
        <v>68</v>
      </c>
    </row>
    <row r="320" spans="1:2">
      <c r="A320">
        <v>242</v>
      </c>
      <c r="B320">
        <v>68</v>
      </c>
    </row>
    <row r="321" spans="1:9">
      <c r="A321">
        <v>243</v>
      </c>
      <c r="B321">
        <v>68</v>
      </c>
    </row>
    <row r="322" spans="1:9">
      <c r="A322">
        <v>244</v>
      </c>
      <c r="B322">
        <v>68</v>
      </c>
    </row>
    <row r="323" spans="1:9">
      <c r="A323">
        <v>245</v>
      </c>
      <c r="B323">
        <v>68</v>
      </c>
    </row>
    <row r="324" spans="1:9">
      <c r="A324">
        <v>246</v>
      </c>
      <c r="B324">
        <v>68</v>
      </c>
    </row>
    <row r="325" spans="1:9">
      <c r="A325">
        <v>247</v>
      </c>
      <c r="B325">
        <v>68</v>
      </c>
    </row>
    <row r="326" spans="1:9">
      <c r="A326">
        <v>248</v>
      </c>
      <c r="B326">
        <v>68</v>
      </c>
    </row>
    <row r="327" spans="1:9">
      <c r="A327">
        <v>249</v>
      </c>
      <c r="B327">
        <v>68</v>
      </c>
    </row>
    <row r="328" spans="1:9">
      <c r="A328">
        <v>250</v>
      </c>
      <c r="B328">
        <v>68</v>
      </c>
      <c r="D328">
        <v>1</v>
      </c>
      <c r="F328">
        <v>1</v>
      </c>
      <c r="G328">
        <v>1</v>
      </c>
      <c r="I328">
        <v>1</v>
      </c>
    </row>
    <row r="329" spans="1:9">
      <c r="A329">
        <v>251</v>
      </c>
      <c r="B329">
        <v>68</v>
      </c>
      <c r="D329">
        <v>1</v>
      </c>
      <c r="E329">
        <v>1</v>
      </c>
      <c r="F329">
        <v>1</v>
      </c>
      <c r="H329">
        <v>1</v>
      </c>
    </row>
    <row r="330" spans="1:9">
      <c r="A330">
        <v>252</v>
      </c>
      <c r="B330">
        <v>68</v>
      </c>
      <c r="F330">
        <v>1</v>
      </c>
      <c r="G330">
        <v>1</v>
      </c>
      <c r="H330">
        <v>1</v>
      </c>
      <c r="I330">
        <v>1</v>
      </c>
    </row>
    <row r="331" spans="1:9">
      <c r="A331">
        <v>253</v>
      </c>
      <c r="B331">
        <v>68</v>
      </c>
      <c r="C331">
        <v>1</v>
      </c>
      <c r="D331">
        <v>1</v>
      </c>
      <c r="E331">
        <v>1</v>
      </c>
      <c r="G331">
        <v>1</v>
      </c>
    </row>
    <row r="332" spans="1:9">
      <c r="A332">
        <v>254</v>
      </c>
      <c r="B332">
        <v>68</v>
      </c>
      <c r="C332">
        <v>1</v>
      </c>
      <c r="D332">
        <v>1</v>
      </c>
      <c r="E332">
        <v>1</v>
      </c>
      <c r="G332">
        <v>1</v>
      </c>
    </row>
    <row r="333" spans="1:9">
      <c r="A333">
        <v>255</v>
      </c>
      <c r="B333">
        <v>68</v>
      </c>
      <c r="F333">
        <v>2</v>
      </c>
      <c r="H333">
        <v>1</v>
      </c>
      <c r="I333">
        <v>1</v>
      </c>
    </row>
    <row r="334" spans="1:9">
      <c r="A334">
        <v>256</v>
      </c>
      <c r="B334">
        <v>68</v>
      </c>
      <c r="C334">
        <v>1</v>
      </c>
      <c r="D334">
        <v>1</v>
      </c>
      <c r="E334">
        <v>1</v>
      </c>
      <c r="G334">
        <v>1</v>
      </c>
    </row>
    <row r="335" spans="1:9">
      <c r="A335">
        <v>257</v>
      </c>
      <c r="B335">
        <v>68</v>
      </c>
      <c r="D335">
        <v>2</v>
      </c>
      <c r="E335">
        <v>1</v>
      </c>
      <c r="G335">
        <v>1</v>
      </c>
    </row>
    <row r="336" spans="1:9">
      <c r="A336">
        <v>258</v>
      </c>
      <c r="B336">
        <v>68</v>
      </c>
      <c r="C336">
        <v>1</v>
      </c>
      <c r="F336">
        <v>1</v>
      </c>
      <c r="G336">
        <v>1</v>
      </c>
      <c r="H336">
        <v>1</v>
      </c>
    </row>
    <row r="337" spans="1:9">
      <c r="A337">
        <v>259</v>
      </c>
      <c r="B337">
        <v>68</v>
      </c>
    </row>
    <row r="338" spans="1:9">
      <c r="A338">
        <v>260</v>
      </c>
      <c r="B338">
        <v>68</v>
      </c>
      <c r="D338">
        <v>1</v>
      </c>
      <c r="F338">
        <v>1</v>
      </c>
      <c r="G338">
        <v>1</v>
      </c>
      <c r="I338">
        <v>1</v>
      </c>
    </row>
    <row r="339" spans="1:9">
      <c r="A339">
        <v>261</v>
      </c>
      <c r="B339">
        <v>68</v>
      </c>
      <c r="G339">
        <v>2</v>
      </c>
      <c r="H339">
        <v>1</v>
      </c>
      <c r="I339">
        <v>1</v>
      </c>
    </row>
    <row r="340" spans="1:9">
      <c r="A340">
        <v>262</v>
      </c>
      <c r="B340">
        <v>68</v>
      </c>
      <c r="C340">
        <v>1</v>
      </c>
      <c r="D340">
        <v>1</v>
      </c>
      <c r="G340">
        <v>1</v>
      </c>
      <c r="H340">
        <v>1</v>
      </c>
    </row>
    <row r="341" spans="1:9">
      <c r="A341">
        <v>263</v>
      </c>
      <c r="B341">
        <v>68</v>
      </c>
      <c r="C341">
        <v>1</v>
      </c>
      <c r="H341">
        <v>2</v>
      </c>
      <c r="I341">
        <v>1</v>
      </c>
    </row>
    <row r="342" spans="1:9">
      <c r="A342">
        <v>264</v>
      </c>
      <c r="B342">
        <v>68</v>
      </c>
    </row>
    <row r="343" spans="1:9">
      <c r="A343">
        <v>265</v>
      </c>
      <c r="B343">
        <v>68</v>
      </c>
      <c r="E343">
        <v>1</v>
      </c>
      <c r="H343">
        <v>2</v>
      </c>
      <c r="I343">
        <v>1</v>
      </c>
    </row>
    <row r="344" spans="1:9">
      <c r="A344">
        <v>266</v>
      </c>
      <c r="B344">
        <v>68</v>
      </c>
      <c r="C344">
        <v>1</v>
      </c>
      <c r="F344">
        <v>1</v>
      </c>
      <c r="G344">
        <v>1</v>
      </c>
      <c r="H344">
        <v>1</v>
      </c>
    </row>
    <row r="345" spans="1:9">
      <c r="A345">
        <v>267</v>
      </c>
      <c r="B345">
        <v>68</v>
      </c>
      <c r="C345">
        <v>1</v>
      </c>
      <c r="D345">
        <v>1</v>
      </c>
      <c r="E345">
        <v>1</v>
      </c>
      <c r="H345">
        <v>1</v>
      </c>
    </row>
    <row r="346" spans="1:9">
      <c r="A346">
        <v>268</v>
      </c>
      <c r="B346">
        <v>68</v>
      </c>
      <c r="E346">
        <v>1</v>
      </c>
      <c r="F346">
        <v>1</v>
      </c>
      <c r="G346">
        <v>1</v>
      </c>
      <c r="I346">
        <v>1</v>
      </c>
    </row>
    <row r="347" spans="1:9">
      <c r="A347">
        <v>269</v>
      </c>
      <c r="B347">
        <v>68</v>
      </c>
    </row>
    <row r="348" spans="1:9">
      <c r="A348">
        <v>270</v>
      </c>
      <c r="B348">
        <v>68</v>
      </c>
    </row>
    <row r="349" spans="1:9">
      <c r="A349">
        <v>271</v>
      </c>
      <c r="B349">
        <v>68</v>
      </c>
    </row>
    <row r="350" spans="1:9">
      <c r="A350">
        <v>272</v>
      </c>
      <c r="B350">
        <v>68</v>
      </c>
    </row>
    <row r="351" spans="1:9">
      <c r="A351">
        <v>273</v>
      </c>
      <c r="B351">
        <v>68</v>
      </c>
    </row>
    <row r="352" spans="1:9">
      <c r="A352">
        <v>274</v>
      </c>
      <c r="B352">
        <v>68</v>
      </c>
    </row>
    <row r="353" spans="1:9">
      <c r="A353">
        <v>275</v>
      </c>
      <c r="B353">
        <v>68</v>
      </c>
    </row>
    <row r="354" spans="1:9">
      <c r="A354">
        <v>276</v>
      </c>
      <c r="B354">
        <v>68</v>
      </c>
    </row>
    <row r="355" spans="1:9">
      <c r="A355">
        <v>277</v>
      </c>
      <c r="B355">
        <v>68</v>
      </c>
    </row>
    <row r="356" spans="1:9">
      <c r="A356">
        <v>278</v>
      </c>
      <c r="B356">
        <v>68</v>
      </c>
    </row>
    <row r="357" spans="1:9">
      <c r="A357">
        <v>279</v>
      </c>
      <c r="B357">
        <v>68</v>
      </c>
    </row>
    <row r="358" spans="1:9">
      <c r="A358">
        <v>280</v>
      </c>
      <c r="B358">
        <v>68</v>
      </c>
    </row>
    <row r="359" spans="1:9">
      <c r="A359">
        <v>281</v>
      </c>
      <c r="B359">
        <v>68</v>
      </c>
    </row>
    <row r="360" spans="1:9">
      <c r="A360">
        <v>282</v>
      </c>
      <c r="B360">
        <v>68</v>
      </c>
    </row>
    <row r="361" spans="1:9">
      <c r="A361">
        <v>283</v>
      </c>
      <c r="B361">
        <v>68</v>
      </c>
    </row>
    <row r="362" spans="1:9">
      <c r="A362">
        <v>239</v>
      </c>
      <c r="B362">
        <v>67</v>
      </c>
    </row>
    <row r="363" spans="1:9">
      <c r="A363">
        <v>240</v>
      </c>
      <c r="B363">
        <v>67</v>
      </c>
    </row>
    <row r="364" spans="1:9">
      <c r="A364">
        <v>241</v>
      </c>
      <c r="B364">
        <v>67</v>
      </c>
    </row>
    <row r="365" spans="1:9">
      <c r="A365">
        <v>242</v>
      </c>
      <c r="B365">
        <v>67</v>
      </c>
    </row>
    <row r="366" spans="1:9">
      <c r="A366">
        <v>243</v>
      </c>
      <c r="B366">
        <v>67</v>
      </c>
      <c r="C366">
        <v>1</v>
      </c>
      <c r="E366">
        <v>1</v>
      </c>
      <c r="H366">
        <v>1</v>
      </c>
      <c r="I366">
        <v>1</v>
      </c>
    </row>
    <row r="367" spans="1:9">
      <c r="A367">
        <v>244</v>
      </c>
      <c r="B367">
        <v>67</v>
      </c>
    </row>
    <row r="368" spans="1:9">
      <c r="A368">
        <v>245</v>
      </c>
      <c r="B368">
        <v>67</v>
      </c>
    </row>
    <row r="369" spans="1:9">
      <c r="A369">
        <v>246</v>
      </c>
      <c r="B369">
        <v>67</v>
      </c>
    </row>
    <row r="370" spans="1:9">
      <c r="A370">
        <v>247</v>
      </c>
      <c r="B370">
        <v>67</v>
      </c>
    </row>
    <row r="371" spans="1:9">
      <c r="A371">
        <v>248</v>
      </c>
      <c r="B371">
        <v>67</v>
      </c>
    </row>
    <row r="372" spans="1:9">
      <c r="A372">
        <v>249</v>
      </c>
      <c r="B372">
        <v>67</v>
      </c>
    </row>
    <row r="373" spans="1:9">
      <c r="A373">
        <v>250</v>
      </c>
      <c r="B373">
        <v>67</v>
      </c>
      <c r="D373">
        <v>1</v>
      </c>
      <c r="E373">
        <v>1</v>
      </c>
      <c r="G373">
        <v>1</v>
      </c>
      <c r="H373">
        <v>1</v>
      </c>
    </row>
    <row r="374" spans="1:9">
      <c r="A374">
        <v>251</v>
      </c>
      <c r="B374">
        <v>67</v>
      </c>
    </row>
    <row r="375" spans="1:9">
      <c r="A375">
        <v>252</v>
      </c>
      <c r="B375">
        <v>67</v>
      </c>
      <c r="C375">
        <v>1</v>
      </c>
      <c r="E375">
        <v>2</v>
      </c>
      <c r="H375">
        <v>1</v>
      </c>
    </row>
    <row r="376" spans="1:9">
      <c r="A376">
        <v>253</v>
      </c>
      <c r="B376">
        <v>67</v>
      </c>
      <c r="C376">
        <v>1</v>
      </c>
      <c r="F376">
        <v>1</v>
      </c>
      <c r="G376">
        <v>2</v>
      </c>
    </row>
    <row r="377" spans="1:9">
      <c r="A377">
        <v>254</v>
      </c>
      <c r="B377">
        <v>67</v>
      </c>
      <c r="C377">
        <v>1</v>
      </c>
      <c r="F377">
        <v>1</v>
      </c>
      <c r="G377">
        <v>1</v>
      </c>
      <c r="H377">
        <v>1</v>
      </c>
    </row>
    <row r="378" spans="1:9">
      <c r="A378">
        <v>255</v>
      </c>
      <c r="B378">
        <v>67</v>
      </c>
      <c r="D378">
        <v>2</v>
      </c>
      <c r="F378">
        <v>1</v>
      </c>
      <c r="I378">
        <v>1</v>
      </c>
    </row>
    <row r="379" spans="1:9">
      <c r="A379">
        <v>256</v>
      </c>
      <c r="B379">
        <v>67</v>
      </c>
    </row>
    <row r="380" spans="1:9">
      <c r="A380">
        <v>257</v>
      </c>
      <c r="B380">
        <v>67</v>
      </c>
      <c r="D380">
        <v>1</v>
      </c>
      <c r="F380">
        <v>1</v>
      </c>
      <c r="G380">
        <v>1</v>
      </c>
      <c r="H380">
        <v>1</v>
      </c>
    </row>
    <row r="381" spans="1:9">
      <c r="A381">
        <v>258</v>
      </c>
      <c r="B381">
        <v>67</v>
      </c>
      <c r="C381">
        <v>1</v>
      </c>
      <c r="E381">
        <v>2</v>
      </c>
      <c r="F381">
        <v>1</v>
      </c>
    </row>
    <row r="382" spans="1:9">
      <c r="A382">
        <v>259</v>
      </c>
      <c r="B382">
        <v>67</v>
      </c>
      <c r="C382">
        <v>1</v>
      </c>
      <c r="F382">
        <v>1</v>
      </c>
      <c r="H382">
        <v>2</v>
      </c>
    </row>
    <row r="383" spans="1:9">
      <c r="A383">
        <v>260</v>
      </c>
      <c r="B383">
        <v>67</v>
      </c>
    </row>
    <row r="384" spans="1:9">
      <c r="A384">
        <v>261</v>
      </c>
      <c r="B384">
        <v>67</v>
      </c>
      <c r="D384">
        <v>2</v>
      </c>
      <c r="G384">
        <v>1</v>
      </c>
      <c r="H384">
        <v>1</v>
      </c>
    </row>
    <row r="385" spans="1:9">
      <c r="A385">
        <v>262</v>
      </c>
      <c r="B385">
        <v>67</v>
      </c>
      <c r="D385">
        <v>1</v>
      </c>
      <c r="E385">
        <v>1</v>
      </c>
      <c r="G385">
        <v>1</v>
      </c>
      <c r="I385">
        <v>1</v>
      </c>
    </row>
    <row r="386" spans="1:9">
      <c r="A386">
        <v>263</v>
      </c>
      <c r="B386">
        <v>67</v>
      </c>
      <c r="D386">
        <v>1</v>
      </c>
      <c r="E386">
        <v>1</v>
      </c>
      <c r="H386">
        <v>1</v>
      </c>
      <c r="I386">
        <v>1</v>
      </c>
    </row>
    <row r="387" spans="1:9">
      <c r="A387">
        <v>264</v>
      </c>
      <c r="B387">
        <v>67</v>
      </c>
      <c r="D387">
        <v>1</v>
      </c>
      <c r="F387">
        <v>2</v>
      </c>
      <c r="G387">
        <v>1</v>
      </c>
    </row>
    <row r="388" spans="1:9">
      <c r="A388">
        <v>265</v>
      </c>
      <c r="B388">
        <v>67</v>
      </c>
      <c r="D388">
        <v>1</v>
      </c>
      <c r="F388">
        <v>1</v>
      </c>
      <c r="G388">
        <v>1</v>
      </c>
      <c r="H388">
        <v>1</v>
      </c>
    </row>
    <row r="389" spans="1:9">
      <c r="A389">
        <v>266</v>
      </c>
      <c r="B389">
        <v>67</v>
      </c>
      <c r="D389">
        <v>1</v>
      </c>
      <c r="G389">
        <v>1</v>
      </c>
      <c r="H389">
        <v>1</v>
      </c>
      <c r="I389">
        <v>1</v>
      </c>
    </row>
    <row r="390" spans="1:9">
      <c r="A390">
        <v>267</v>
      </c>
      <c r="B390">
        <v>67</v>
      </c>
    </row>
    <row r="391" spans="1:9">
      <c r="A391">
        <v>268</v>
      </c>
      <c r="B391">
        <v>67</v>
      </c>
    </row>
    <row r="392" spans="1:9">
      <c r="A392">
        <v>269</v>
      </c>
      <c r="B392">
        <v>67</v>
      </c>
    </row>
    <row r="393" spans="1:9">
      <c r="A393">
        <v>270</v>
      </c>
      <c r="B393">
        <v>67</v>
      </c>
    </row>
    <row r="394" spans="1:9">
      <c r="A394">
        <v>271</v>
      </c>
      <c r="B394">
        <v>67</v>
      </c>
    </row>
    <row r="395" spans="1:9">
      <c r="A395">
        <v>272</v>
      </c>
      <c r="B395">
        <v>67</v>
      </c>
      <c r="E395">
        <v>1</v>
      </c>
      <c r="H395">
        <v>2</v>
      </c>
      <c r="I395">
        <v>1</v>
      </c>
    </row>
    <row r="396" spans="1:9">
      <c r="A396">
        <v>273</v>
      </c>
      <c r="B396">
        <v>67</v>
      </c>
      <c r="C396">
        <v>1</v>
      </c>
      <c r="D396">
        <v>1</v>
      </c>
      <c r="E396">
        <v>1</v>
      </c>
      <c r="G396">
        <v>1</v>
      </c>
    </row>
    <row r="397" spans="1:9">
      <c r="A397">
        <v>274</v>
      </c>
      <c r="B397">
        <v>67</v>
      </c>
      <c r="D397">
        <v>1</v>
      </c>
      <c r="E397">
        <v>1</v>
      </c>
      <c r="F397">
        <v>1</v>
      </c>
      <c r="G397">
        <v>1</v>
      </c>
    </row>
    <row r="398" spans="1:9">
      <c r="A398">
        <v>275</v>
      </c>
      <c r="B398">
        <v>67</v>
      </c>
    </row>
    <row r="399" spans="1:9">
      <c r="A399">
        <v>276</v>
      </c>
      <c r="B399">
        <v>67</v>
      </c>
    </row>
    <row r="400" spans="1:9">
      <c r="A400">
        <v>277</v>
      </c>
      <c r="B400">
        <v>67</v>
      </c>
    </row>
    <row r="401" spans="1:9">
      <c r="A401">
        <v>278</v>
      </c>
      <c r="B401">
        <v>67</v>
      </c>
    </row>
    <row r="402" spans="1:9">
      <c r="A402">
        <v>279</v>
      </c>
      <c r="B402">
        <v>67</v>
      </c>
    </row>
    <row r="403" spans="1:9">
      <c r="A403">
        <v>280</v>
      </c>
      <c r="B403">
        <v>67</v>
      </c>
    </row>
    <row r="404" spans="1:9">
      <c r="A404">
        <v>281</v>
      </c>
      <c r="B404">
        <v>67</v>
      </c>
    </row>
    <row r="405" spans="1:9">
      <c r="A405">
        <v>282</v>
      </c>
      <c r="B405">
        <v>67</v>
      </c>
    </row>
    <row r="406" spans="1:9">
      <c r="A406">
        <v>283</v>
      </c>
      <c r="B406">
        <v>67</v>
      </c>
    </row>
    <row r="407" spans="1:9">
      <c r="A407">
        <v>239</v>
      </c>
      <c r="B407">
        <v>66</v>
      </c>
    </row>
    <row r="408" spans="1:9">
      <c r="A408">
        <v>240</v>
      </c>
      <c r="B408">
        <v>66</v>
      </c>
    </row>
    <row r="409" spans="1:9">
      <c r="A409">
        <v>241</v>
      </c>
      <c r="B409">
        <v>66</v>
      </c>
    </row>
    <row r="410" spans="1:9">
      <c r="A410">
        <v>242</v>
      </c>
      <c r="B410">
        <v>66</v>
      </c>
    </row>
    <row r="411" spans="1:9">
      <c r="A411">
        <v>243</v>
      </c>
      <c r="B411">
        <v>66</v>
      </c>
      <c r="C411">
        <v>1</v>
      </c>
      <c r="F411">
        <v>2</v>
      </c>
      <c r="H411">
        <v>1</v>
      </c>
    </row>
    <row r="412" spans="1:9">
      <c r="A412">
        <v>244</v>
      </c>
      <c r="B412">
        <v>66</v>
      </c>
      <c r="E412">
        <v>1</v>
      </c>
      <c r="F412">
        <v>1</v>
      </c>
      <c r="G412">
        <v>1</v>
      </c>
      <c r="I412">
        <v>1</v>
      </c>
    </row>
    <row r="413" spans="1:9">
      <c r="A413">
        <v>245</v>
      </c>
      <c r="B413">
        <v>66</v>
      </c>
      <c r="E413">
        <v>1</v>
      </c>
      <c r="F413">
        <v>1</v>
      </c>
      <c r="H413">
        <v>1</v>
      </c>
      <c r="I413">
        <v>1</v>
      </c>
    </row>
    <row r="414" spans="1:9">
      <c r="A414">
        <v>246</v>
      </c>
      <c r="B414">
        <v>66</v>
      </c>
    </row>
    <row r="415" spans="1:9">
      <c r="A415">
        <v>247</v>
      </c>
      <c r="B415">
        <v>66</v>
      </c>
    </row>
    <row r="416" spans="1:9">
      <c r="A416">
        <v>248</v>
      </c>
      <c r="B416">
        <v>66</v>
      </c>
    </row>
    <row r="417" spans="1:9">
      <c r="A417">
        <v>249</v>
      </c>
      <c r="B417">
        <v>66</v>
      </c>
    </row>
    <row r="418" spans="1:9">
      <c r="A418">
        <v>250</v>
      </c>
      <c r="B418">
        <v>66</v>
      </c>
      <c r="D418">
        <v>1</v>
      </c>
      <c r="F418">
        <v>1</v>
      </c>
      <c r="G418">
        <v>1</v>
      </c>
      <c r="H418">
        <v>1</v>
      </c>
    </row>
    <row r="419" spans="1:9">
      <c r="A419">
        <v>251</v>
      </c>
      <c r="B419">
        <v>66</v>
      </c>
    </row>
    <row r="420" spans="1:9">
      <c r="A420">
        <v>252</v>
      </c>
      <c r="B420">
        <v>66</v>
      </c>
      <c r="D420">
        <v>2</v>
      </c>
      <c r="G420">
        <v>1</v>
      </c>
      <c r="I420">
        <v>1</v>
      </c>
    </row>
    <row r="421" spans="1:9">
      <c r="A421">
        <v>253</v>
      </c>
      <c r="B421">
        <v>66</v>
      </c>
    </row>
    <row r="422" spans="1:9">
      <c r="A422">
        <v>254</v>
      </c>
      <c r="B422">
        <v>66</v>
      </c>
      <c r="D422">
        <v>1</v>
      </c>
      <c r="E422">
        <v>1</v>
      </c>
      <c r="G422">
        <v>1</v>
      </c>
      <c r="I422">
        <v>1</v>
      </c>
    </row>
    <row r="423" spans="1:9">
      <c r="A423">
        <v>255</v>
      </c>
      <c r="B423">
        <v>66</v>
      </c>
      <c r="E423">
        <v>1</v>
      </c>
      <c r="F423">
        <v>1</v>
      </c>
      <c r="G423">
        <v>1</v>
      </c>
      <c r="I423">
        <v>1</v>
      </c>
    </row>
    <row r="424" spans="1:9">
      <c r="A424">
        <v>256</v>
      </c>
      <c r="B424">
        <v>66</v>
      </c>
      <c r="C424">
        <v>1</v>
      </c>
      <c r="D424">
        <v>2</v>
      </c>
      <c r="H424">
        <v>1</v>
      </c>
    </row>
    <row r="425" spans="1:9">
      <c r="A425">
        <v>257</v>
      </c>
      <c r="B425">
        <v>66</v>
      </c>
      <c r="C425">
        <v>1</v>
      </c>
      <c r="D425">
        <v>2</v>
      </c>
      <c r="H425">
        <v>1</v>
      </c>
    </row>
    <row r="426" spans="1:9">
      <c r="A426">
        <v>258</v>
      </c>
      <c r="B426">
        <v>66</v>
      </c>
      <c r="E426">
        <v>2</v>
      </c>
      <c r="F426">
        <v>1</v>
      </c>
      <c r="H426">
        <v>1</v>
      </c>
    </row>
    <row r="427" spans="1:9">
      <c r="A427">
        <v>259</v>
      </c>
      <c r="B427">
        <v>66</v>
      </c>
      <c r="F427">
        <v>1</v>
      </c>
      <c r="G427">
        <v>2</v>
      </c>
      <c r="H427">
        <v>1</v>
      </c>
    </row>
    <row r="428" spans="1:9">
      <c r="A428">
        <v>260</v>
      </c>
      <c r="B428">
        <v>66</v>
      </c>
      <c r="E428">
        <v>1</v>
      </c>
      <c r="H428">
        <v>2</v>
      </c>
      <c r="I428">
        <v>1</v>
      </c>
    </row>
    <row r="429" spans="1:9">
      <c r="A429">
        <v>261</v>
      </c>
      <c r="B429">
        <v>66</v>
      </c>
    </row>
    <row r="430" spans="1:9">
      <c r="A430">
        <v>262</v>
      </c>
      <c r="B430">
        <v>66</v>
      </c>
      <c r="E430">
        <v>1</v>
      </c>
      <c r="F430">
        <v>1</v>
      </c>
      <c r="G430">
        <v>1</v>
      </c>
      <c r="H430">
        <v>1</v>
      </c>
    </row>
    <row r="431" spans="1:9">
      <c r="A431">
        <v>263</v>
      </c>
      <c r="B431">
        <v>66</v>
      </c>
      <c r="C431">
        <v>1</v>
      </c>
      <c r="D431">
        <v>1</v>
      </c>
      <c r="E431">
        <v>1</v>
      </c>
      <c r="F431">
        <v>1</v>
      </c>
    </row>
    <row r="432" spans="1:9">
      <c r="A432">
        <v>264</v>
      </c>
      <c r="B432">
        <v>66</v>
      </c>
    </row>
    <row r="433" spans="1:9">
      <c r="A433">
        <v>265</v>
      </c>
      <c r="B433">
        <v>66</v>
      </c>
      <c r="E433">
        <v>2</v>
      </c>
      <c r="H433">
        <v>1</v>
      </c>
      <c r="I433">
        <v>1</v>
      </c>
    </row>
    <row r="434" spans="1:9">
      <c r="A434">
        <v>266</v>
      </c>
      <c r="B434">
        <v>66</v>
      </c>
      <c r="C434">
        <v>1</v>
      </c>
      <c r="D434">
        <v>1</v>
      </c>
      <c r="G434">
        <v>1</v>
      </c>
      <c r="H434">
        <v>1</v>
      </c>
    </row>
    <row r="435" spans="1:9">
      <c r="A435">
        <v>267</v>
      </c>
      <c r="B435">
        <v>66</v>
      </c>
    </row>
    <row r="436" spans="1:9">
      <c r="A436">
        <v>268</v>
      </c>
      <c r="B436">
        <v>66</v>
      </c>
    </row>
    <row r="437" spans="1:9">
      <c r="A437">
        <v>269</v>
      </c>
      <c r="B437">
        <v>66</v>
      </c>
    </row>
    <row r="438" spans="1:9">
      <c r="A438">
        <v>270</v>
      </c>
      <c r="B438">
        <v>66</v>
      </c>
    </row>
    <row r="439" spans="1:9">
      <c r="A439">
        <v>271</v>
      </c>
      <c r="B439">
        <v>66</v>
      </c>
    </row>
    <row r="440" spans="1:9">
      <c r="A440">
        <v>272</v>
      </c>
      <c r="B440">
        <v>66</v>
      </c>
      <c r="E440">
        <v>1</v>
      </c>
      <c r="H440">
        <v>1</v>
      </c>
      <c r="I440">
        <v>2</v>
      </c>
    </row>
    <row r="441" spans="1:9">
      <c r="A441">
        <v>273</v>
      </c>
      <c r="B441">
        <v>66</v>
      </c>
      <c r="D441">
        <v>1</v>
      </c>
      <c r="E441">
        <v>1</v>
      </c>
      <c r="F441">
        <v>1</v>
      </c>
      <c r="I441">
        <v>1</v>
      </c>
    </row>
    <row r="442" spans="1:9">
      <c r="A442">
        <v>274</v>
      </c>
      <c r="B442">
        <v>66</v>
      </c>
    </row>
    <row r="443" spans="1:9">
      <c r="A443">
        <v>275</v>
      </c>
      <c r="B443">
        <v>66</v>
      </c>
      <c r="C443">
        <v>1</v>
      </c>
      <c r="E443">
        <v>1</v>
      </c>
      <c r="F443">
        <v>1</v>
      </c>
      <c r="G443">
        <v>1</v>
      </c>
    </row>
    <row r="444" spans="1:9">
      <c r="A444">
        <v>276</v>
      </c>
      <c r="B444">
        <v>66</v>
      </c>
      <c r="D444">
        <v>1</v>
      </c>
      <c r="E444">
        <v>1</v>
      </c>
      <c r="G444">
        <v>1</v>
      </c>
      <c r="I444">
        <v>1</v>
      </c>
    </row>
    <row r="445" spans="1:9">
      <c r="A445">
        <v>277</v>
      </c>
      <c r="B445">
        <v>66</v>
      </c>
    </row>
    <row r="446" spans="1:9">
      <c r="A446">
        <v>278</v>
      </c>
      <c r="B446">
        <v>66</v>
      </c>
    </row>
    <row r="447" spans="1:9">
      <c r="A447">
        <v>279</v>
      </c>
      <c r="B447">
        <v>66</v>
      </c>
    </row>
    <row r="448" spans="1:9">
      <c r="A448">
        <v>280</v>
      </c>
      <c r="B448">
        <v>66</v>
      </c>
    </row>
    <row r="449" spans="1:9">
      <c r="A449">
        <v>281</v>
      </c>
      <c r="B449">
        <v>66</v>
      </c>
    </row>
    <row r="450" spans="1:9">
      <c r="A450">
        <v>282</v>
      </c>
      <c r="B450">
        <v>66</v>
      </c>
    </row>
    <row r="451" spans="1:9">
      <c r="A451">
        <v>283</v>
      </c>
      <c r="B451">
        <v>66</v>
      </c>
    </row>
    <row r="452" spans="1:9">
      <c r="A452">
        <v>239</v>
      </c>
      <c r="B452">
        <v>65</v>
      </c>
    </row>
    <row r="453" spans="1:9">
      <c r="A453">
        <v>240</v>
      </c>
      <c r="B453">
        <v>65</v>
      </c>
    </row>
    <row r="454" spans="1:9">
      <c r="A454">
        <v>241</v>
      </c>
      <c r="B454">
        <v>65</v>
      </c>
    </row>
    <row r="455" spans="1:9">
      <c r="A455">
        <v>242</v>
      </c>
      <c r="B455">
        <v>65</v>
      </c>
    </row>
    <row r="456" spans="1:9">
      <c r="A456">
        <v>243</v>
      </c>
      <c r="B456">
        <v>65</v>
      </c>
      <c r="E456">
        <v>1</v>
      </c>
      <c r="G456">
        <v>1</v>
      </c>
      <c r="H456">
        <v>1</v>
      </c>
      <c r="I456">
        <v>1</v>
      </c>
    </row>
    <row r="457" spans="1:9">
      <c r="A457">
        <v>244</v>
      </c>
      <c r="B457">
        <v>65</v>
      </c>
    </row>
    <row r="458" spans="1:9">
      <c r="A458">
        <v>245</v>
      </c>
      <c r="B458">
        <v>65</v>
      </c>
      <c r="E458">
        <v>1</v>
      </c>
      <c r="F458">
        <v>1</v>
      </c>
      <c r="H458">
        <v>1</v>
      </c>
      <c r="I458">
        <v>1</v>
      </c>
    </row>
    <row r="459" spans="1:9">
      <c r="A459">
        <v>246</v>
      </c>
      <c r="B459">
        <v>65</v>
      </c>
      <c r="D459">
        <v>1</v>
      </c>
      <c r="F459">
        <v>1</v>
      </c>
      <c r="G459">
        <v>1</v>
      </c>
      <c r="H459">
        <v>1</v>
      </c>
    </row>
    <row r="460" spans="1:9">
      <c r="A460">
        <v>247</v>
      </c>
      <c r="B460">
        <v>65</v>
      </c>
    </row>
    <row r="461" spans="1:9">
      <c r="A461">
        <v>248</v>
      </c>
      <c r="B461">
        <v>65</v>
      </c>
      <c r="E461">
        <v>1</v>
      </c>
      <c r="H461">
        <v>1</v>
      </c>
      <c r="I461">
        <v>2</v>
      </c>
    </row>
    <row r="462" spans="1:9">
      <c r="A462">
        <v>249</v>
      </c>
      <c r="B462">
        <v>65</v>
      </c>
      <c r="D462">
        <v>1</v>
      </c>
      <c r="E462">
        <v>1</v>
      </c>
      <c r="F462">
        <v>1</v>
      </c>
      <c r="H462">
        <v>1</v>
      </c>
    </row>
    <row r="463" spans="1:9">
      <c r="A463">
        <v>250</v>
      </c>
      <c r="B463">
        <v>65</v>
      </c>
    </row>
    <row r="464" spans="1:9">
      <c r="A464">
        <v>251</v>
      </c>
      <c r="B464">
        <v>65</v>
      </c>
      <c r="G464">
        <v>2</v>
      </c>
      <c r="H464">
        <v>1</v>
      </c>
      <c r="I464">
        <v>1</v>
      </c>
    </row>
    <row r="465" spans="1:9">
      <c r="A465">
        <v>252</v>
      </c>
      <c r="B465">
        <v>65</v>
      </c>
      <c r="D465">
        <v>1</v>
      </c>
      <c r="E465">
        <v>2</v>
      </c>
      <c r="G465">
        <v>1</v>
      </c>
    </row>
    <row r="466" spans="1:9">
      <c r="A466">
        <v>253</v>
      </c>
      <c r="B466">
        <v>65</v>
      </c>
      <c r="F466">
        <v>1</v>
      </c>
      <c r="G466">
        <v>2</v>
      </c>
      <c r="I466">
        <v>1</v>
      </c>
    </row>
    <row r="467" spans="1:9">
      <c r="A467">
        <v>254</v>
      </c>
      <c r="B467">
        <v>65</v>
      </c>
      <c r="C467">
        <v>1</v>
      </c>
      <c r="E467">
        <v>1</v>
      </c>
      <c r="F467">
        <v>1</v>
      </c>
      <c r="I467">
        <v>1</v>
      </c>
    </row>
    <row r="468" spans="1:9">
      <c r="A468">
        <v>255</v>
      </c>
      <c r="B468">
        <v>65</v>
      </c>
      <c r="G468">
        <v>1</v>
      </c>
      <c r="H468">
        <v>2</v>
      </c>
      <c r="I468">
        <v>1</v>
      </c>
    </row>
    <row r="469" spans="1:9">
      <c r="A469">
        <v>256</v>
      </c>
      <c r="B469">
        <v>65</v>
      </c>
      <c r="E469">
        <v>1</v>
      </c>
      <c r="F469">
        <v>1</v>
      </c>
      <c r="I469">
        <v>2</v>
      </c>
    </row>
    <row r="470" spans="1:9">
      <c r="A470">
        <v>257</v>
      </c>
      <c r="B470">
        <v>65</v>
      </c>
      <c r="D470">
        <v>1</v>
      </c>
      <c r="E470">
        <v>1</v>
      </c>
      <c r="G470">
        <v>1</v>
      </c>
      <c r="H470">
        <v>1</v>
      </c>
    </row>
    <row r="471" spans="1:9">
      <c r="A471">
        <v>258</v>
      </c>
      <c r="B471">
        <v>65</v>
      </c>
      <c r="D471">
        <v>1</v>
      </c>
      <c r="E471">
        <v>1</v>
      </c>
      <c r="I471">
        <v>2</v>
      </c>
    </row>
    <row r="472" spans="1:9">
      <c r="A472">
        <v>259</v>
      </c>
      <c r="B472">
        <v>65</v>
      </c>
    </row>
    <row r="473" spans="1:9">
      <c r="A473">
        <v>260</v>
      </c>
      <c r="B473">
        <v>65</v>
      </c>
      <c r="C473">
        <v>1</v>
      </c>
      <c r="F473">
        <v>1</v>
      </c>
      <c r="H473">
        <v>1</v>
      </c>
      <c r="I473">
        <v>1</v>
      </c>
    </row>
    <row r="474" spans="1:9">
      <c r="A474">
        <v>261</v>
      </c>
      <c r="B474">
        <v>65</v>
      </c>
    </row>
    <row r="475" spans="1:9">
      <c r="A475">
        <v>262</v>
      </c>
      <c r="B475">
        <v>65</v>
      </c>
      <c r="D475">
        <v>1</v>
      </c>
      <c r="E475">
        <v>1</v>
      </c>
      <c r="F475">
        <v>1</v>
      </c>
      <c r="I475">
        <v>1</v>
      </c>
    </row>
    <row r="476" spans="1:9">
      <c r="A476">
        <v>263</v>
      </c>
      <c r="B476">
        <v>65</v>
      </c>
      <c r="C476">
        <v>1</v>
      </c>
      <c r="D476">
        <v>1</v>
      </c>
      <c r="G476">
        <v>1</v>
      </c>
      <c r="I476">
        <v>1</v>
      </c>
    </row>
    <row r="477" spans="1:9">
      <c r="A477">
        <v>264</v>
      </c>
      <c r="B477">
        <v>65</v>
      </c>
      <c r="E477">
        <v>1</v>
      </c>
      <c r="F477">
        <v>1</v>
      </c>
      <c r="G477">
        <v>1</v>
      </c>
      <c r="I477">
        <v>1</v>
      </c>
    </row>
    <row r="478" spans="1:9">
      <c r="A478">
        <v>265</v>
      </c>
      <c r="B478">
        <v>65</v>
      </c>
    </row>
    <row r="479" spans="1:9">
      <c r="A479">
        <v>266</v>
      </c>
      <c r="B479">
        <v>65</v>
      </c>
      <c r="C479">
        <v>1</v>
      </c>
      <c r="E479">
        <v>1</v>
      </c>
      <c r="G479">
        <v>1</v>
      </c>
      <c r="H479">
        <v>1</v>
      </c>
    </row>
    <row r="480" spans="1:9">
      <c r="A480">
        <v>267</v>
      </c>
      <c r="B480">
        <v>65</v>
      </c>
      <c r="C480">
        <v>1</v>
      </c>
      <c r="D480">
        <v>2</v>
      </c>
      <c r="E480">
        <v>1</v>
      </c>
    </row>
    <row r="481" spans="1:9">
      <c r="A481">
        <v>268</v>
      </c>
      <c r="B481">
        <v>65</v>
      </c>
      <c r="C481">
        <v>1</v>
      </c>
      <c r="D481">
        <v>1</v>
      </c>
      <c r="F481">
        <v>1</v>
      </c>
      <c r="G481">
        <v>1</v>
      </c>
    </row>
    <row r="482" spans="1:9">
      <c r="A482">
        <v>269</v>
      </c>
      <c r="B482">
        <v>65</v>
      </c>
      <c r="D482">
        <v>1</v>
      </c>
      <c r="E482">
        <v>1</v>
      </c>
      <c r="H482">
        <v>1</v>
      </c>
      <c r="I482">
        <v>1</v>
      </c>
    </row>
    <row r="483" spans="1:9">
      <c r="A483">
        <v>270</v>
      </c>
      <c r="B483">
        <v>65</v>
      </c>
    </row>
    <row r="484" spans="1:9">
      <c r="A484">
        <v>271</v>
      </c>
      <c r="B484">
        <v>65</v>
      </c>
    </row>
    <row r="485" spans="1:9">
      <c r="A485">
        <v>272</v>
      </c>
      <c r="B485">
        <v>65</v>
      </c>
      <c r="C485">
        <v>1</v>
      </c>
      <c r="D485">
        <v>1</v>
      </c>
      <c r="F485">
        <v>1</v>
      </c>
      <c r="I485">
        <v>1</v>
      </c>
    </row>
    <row r="486" spans="1:9">
      <c r="A486">
        <v>273</v>
      </c>
      <c r="B486">
        <v>65</v>
      </c>
    </row>
    <row r="487" spans="1:9">
      <c r="A487">
        <v>274</v>
      </c>
      <c r="B487">
        <v>65</v>
      </c>
      <c r="C487">
        <v>1</v>
      </c>
      <c r="E487">
        <v>1</v>
      </c>
      <c r="H487">
        <v>2</v>
      </c>
    </row>
    <row r="488" spans="1:9">
      <c r="A488">
        <v>275</v>
      </c>
      <c r="B488">
        <v>65</v>
      </c>
      <c r="E488">
        <v>1</v>
      </c>
      <c r="F488">
        <v>1</v>
      </c>
      <c r="G488">
        <v>1</v>
      </c>
      <c r="I488">
        <v>1</v>
      </c>
    </row>
    <row r="489" spans="1:9">
      <c r="A489">
        <v>276</v>
      </c>
      <c r="B489">
        <v>65</v>
      </c>
      <c r="C489">
        <v>1</v>
      </c>
      <c r="H489">
        <v>1</v>
      </c>
      <c r="I489">
        <v>2</v>
      </c>
    </row>
    <row r="490" spans="1:9">
      <c r="A490">
        <v>277</v>
      </c>
      <c r="B490">
        <v>65</v>
      </c>
    </row>
    <row r="491" spans="1:9">
      <c r="A491">
        <v>278</v>
      </c>
      <c r="B491">
        <v>65</v>
      </c>
    </row>
    <row r="492" spans="1:9">
      <c r="A492">
        <v>279</v>
      </c>
      <c r="B492">
        <v>65</v>
      </c>
    </row>
    <row r="493" spans="1:9">
      <c r="A493">
        <v>280</v>
      </c>
      <c r="B493">
        <v>65</v>
      </c>
    </row>
    <row r="494" spans="1:9">
      <c r="A494">
        <v>281</v>
      </c>
      <c r="B494">
        <v>65</v>
      </c>
    </row>
    <row r="495" spans="1:9">
      <c r="A495">
        <v>282</v>
      </c>
      <c r="B495">
        <v>65</v>
      </c>
    </row>
    <row r="496" spans="1:9">
      <c r="A496">
        <v>283</v>
      </c>
      <c r="B496">
        <v>65</v>
      </c>
    </row>
    <row r="497" spans="1:9">
      <c r="A497">
        <v>239</v>
      </c>
      <c r="B497">
        <v>64</v>
      </c>
    </row>
    <row r="498" spans="1:9">
      <c r="A498">
        <v>240</v>
      </c>
      <c r="B498">
        <v>64</v>
      </c>
    </row>
    <row r="499" spans="1:9">
      <c r="A499">
        <v>241</v>
      </c>
      <c r="B499">
        <v>64</v>
      </c>
    </row>
    <row r="500" spans="1:9">
      <c r="A500">
        <v>242</v>
      </c>
      <c r="B500">
        <v>64</v>
      </c>
    </row>
    <row r="501" spans="1:9">
      <c r="A501">
        <v>243</v>
      </c>
      <c r="B501">
        <v>64</v>
      </c>
      <c r="C501">
        <v>1</v>
      </c>
      <c r="E501">
        <v>2</v>
      </c>
      <c r="I501">
        <v>1</v>
      </c>
    </row>
    <row r="502" spans="1:9">
      <c r="A502">
        <v>244</v>
      </c>
      <c r="B502">
        <v>64</v>
      </c>
      <c r="C502">
        <v>1</v>
      </c>
      <c r="D502">
        <v>1</v>
      </c>
      <c r="E502">
        <v>1</v>
      </c>
      <c r="G502">
        <v>1</v>
      </c>
    </row>
    <row r="503" spans="1:9">
      <c r="A503">
        <v>245</v>
      </c>
      <c r="B503">
        <v>64</v>
      </c>
      <c r="D503">
        <v>2</v>
      </c>
      <c r="F503">
        <v>1</v>
      </c>
      <c r="H503">
        <v>1</v>
      </c>
    </row>
    <row r="504" spans="1:9">
      <c r="A504">
        <v>246</v>
      </c>
      <c r="B504">
        <v>64</v>
      </c>
    </row>
    <row r="505" spans="1:9">
      <c r="A505">
        <v>247</v>
      </c>
      <c r="B505">
        <v>64</v>
      </c>
    </row>
    <row r="506" spans="1:9">
      <c r="A506">
        <v>248</v>
      </c>
      <c r="B506">
        <v>64</v>
      </c>
      <c r="D506">
        <v>1</v>
      </c>
      <c r="F506">
        <v>1</v>
      </c>
      <c r="G506">
        <v>1</v>
      </c>
      <c r="I506">
        <v>1</v>
      </c>
    </row>
    <row r="507" spans="1:9">
      <c r="A507">
        <v>249</v>
      </c>
      <c r="B507">
        <v>64</v>
      </c>
      <c r="E507">
        <v>1</v>
      </c>
      <c r="G507">
        <v>1</v>
      </c>
      <c r="H507">
        <v>1</v>
      </c>
      <c r="I507">
        <v>1</v>
      </c>
    </row>
    <row r="508" spans="1:9">
      <c r="A508">
        <v>250</v>
      </c>
      <c r="B508">
        <v>64</v>
      </c>
      <c r="D508">
        <v>1</v>
      </c>
      <c r="E508">
        <v>2</v>
      </c>
      <c r="H508">
        <v>1</v>
      </c>
    </row>
    <row r="509" spans="1:9">
      <c r="A509">
        <v>251</v>
      </c>
      <c r="B509">
        <v>64</v>
      </c>
      <c r="E509">
        <v>1</v>
      </c>
      <c r="H509">
        <v>1</v>
      </c>
      <c r="I509">
        <v>2</v>
      </c>
    </row>
    <row r="510" spans="1:9">
      <c r="A510">
        <v>252</v>
      </c>
      <c r="B510">
        <v>64</v>
      </c>
      <c r="F510">
        <v>1</v>
      </c>
      <c r="G510">
        <v>1</v>
      </c>
      <c r="H510">
        <v>1</v>
      </c>
      <c r="I510">
        <v>1</v>
      </c>
    </row>
    <row r="511" spans="1:9">
      <c r="A511">
        <v>253</v>
      </c>
      <c r="B511">
        <v>64</v>
      </c>
      <c r="D511">
        <v>1</v>
      </c>
      <c r="F511">
        <v>1</v>
      </c>
      <c r="H511">
        <v>1</v>
      </c>
      <c r="I511">
        <v>1</v>
      </c>
    </row>
    <row r="512" spans="1:9">
      <c r="A512">
        <v>254</v>
      </c>
      <c r="B512">
        <v>64</v>
      </c>
      <c r="D512">
        <v>1</v>
      </c>
      <c r="G512">
        <v>1</v>
      </c>
      <c r="H512">
        <v>1</v>
      </c>
      <c r="I512">
        <v>1</v>
      </c>
    </row>
    <row r="513" spans="1:9">
      <c r="A513">
        <v>255</v>
      </c>
      <c r="B513">
        <v>64</v>
      </c>
      <c r="E513">
        <v>1</v>
      </c>
      <c r="F513">
        <v>1</v>
      </c>
      <c r="G513">
        <v>2</v>
      </c>
    </row>
    <row r="514" spans="1:9">
      <c r="A514">
        <v>256</v>
      </c>
      <c r="B514">
        <v>64</v>
      </c>
      <c r="C514">
        <v>1</v>
      </c>
      <c r="D514">
        <v>1</v>
      </c>
      <c r="H514">
        <v>1</v>
      </c>
      <c r="I514">
        <v>1</v>
      </c>
    </row>
    <row r="515" spans="1:9">
      <c r="A515">
        <v>257</v>
      </c>
      <c r="B515">
        <v>64</v>
      </c>
      <c r="E515">
        <v>2</v>
      </c>
      <c r="H515">
        <v>1</v>
      </c>
      <c r="I515">
        <v>1</v>
      </c>
    </row>
    <row r="516" spans="1:9">
      <c r="A516">
        <v>258</v>
      </c>
      <c r="B516">
        <v>64</v>
      </c>
      <c r="C516">
        <v>1</v>
      </c>
      <c r="D516">
        <v>1</v>
      </c>
      <c r="F516">
        <v>1</v>
      </c>
      <c r="H516">
        <v>1</v>
      </c>
    </row>
    <row r="517" spans="1:9">
      <c r="A517">
        <v>259</v>
      </c>
      <c r="B517">
        <v>64</v>
      </c>
      <c r="D517">
        <v>1</v>
      </c>
      <c r="F517">
        <v>1</v>
      </c>
      <c r="G517">
        <v>1</v>
      </c>
      <c r="H517">
        <v>1</v>
      </c>
    </row>
    <row r="518" spans="1:9">
      <c r="A518">
        <v>260</v>
      </c>
      <c r="B518">
        <v>64</v>
      </c>
    </row>
    <row r="519" spans="1:9">
      <c r="A519">
        <v>261</v>
      </c>
      <c r="B519">
        <v>64</v>
      </c>
    </row>
    <row r="520" spans="1:9">
      <c r="A520">
        <v>262</v>
      </c>
      <c r="B520">
        <v>64</v>
      </c>
      <c r="D520">
        <v>1</v>
      </c>
      <c r="E520">
        <v>1</v>
      </c>
      <c r="F520">
        <v>1</v>
      </c>
      <c r="I520">
        <v>1</v>
      </c>
    </row>
    <row r="521" spans="1:9">
      <c r="A521">
        <v>263</v>
      </c>
      <c r="B521">
        <v>64</v>
      </c>
      <c r="C521">
        <v>1</v>
      </c>
      <c r="E521">
        <v>1</v>
      </c>
      <c r="H521">
        <v>1</v>
      </c>
      <c r="I521">
        <v>1</v>
      </c>
    </row>
    <row r="522" spans="1:9">
      <c r="A522">
        <v>264</v>
      </c>
      <c r="B522">
        <v>64</v>
      </c>
      <c r="C522">
        <v>1</v>
      </c>
      <c r="E522">
        <v>1</v>
      </c>
      <c r="H522">
        <v>2</v>
      </c>
    </row>
    <row r="523" spans="1:9">
      <c r="A523">
        <v>265</v>
      </c>
      <c r="B523">
        <v>64</v>
      </c>
      <c r="D523">
        <v>1</v>
      </c>
      <c r="F523">
        <v>1</v>
      </c>
      <c r="G523">
        <v>1</v>
      </c>
      <c r="I523">
        <v>1</v>
      </c>
    </row>
    <row r="524" spans="1:9">
      <c r="A524">
        <v>266</v>
      </c>
      <c r="B524">
        <v>64</v>
      </c>
      <c r="F524">
        <v>1</v>
      </c>
      <c r="G524">
        <v>2</v>
      </c>
      <c r="H524">
        <v>1</v>
      </c>
    </row>
    <row r="525" spans="1:9">
      <c r="A525">
        <v>267</v>
      </c>
      <c r="B525">
        <v>64</v>
      </c>
      <c r="D525">
        <v>1</v>
      </c>
      <c r="E525">
        <v>1</v>
      </c>
      <c r="F525">
        <v>1</v>
      </c>
      <c r="I525">
        <v>1</v>
      </c>
    </row>
    <row r="526" spans="1:9">
      <c r="A526">
        <v>268</v>
      </c>
      <c r="B526">
        <v>64</v>
      </c>
    </row>
    <row r="527" spans="1:9">
      <c r="A527">
        <v>269</v>
      </c>
      <c r="B527">
        <v>64</v>
      </c>
      <c r="G527">
        <v>2</v>
      </c>
      <c r="H527">
        <v>1</v>
      </c>
      <c r="I527">
        <v>1</v>
      </c>
    </row>
    <row r="528" spans="1:9">
      <c r="A528">
        <v>270</v>
      </c>
      <c r="B528">
        <v>64</v>
      </c>
      <c r="C528">
        <v>1</v>
      </c>
      <c r="D528">
        <v>2</v>
      </c>
      <c r="E528">
        <v>1</v>
      </c>
    </row>
    <row r="529" spans="1:9">
      <c r="A529">
        <v>271</v>
      </c>
      <c r="B529">
        <v>64</v>
      </c>
      <c r="C529">
        <v>1</v>
      </c>
      <c r="E529">
        <v>1</v>
      </c>
      <c r="F529">
        <v>1</v>
      </c>
      <c r="H529">
        <v>1</v>
      </c>
    </row>
    <row r="530" spans="1:9">
      <c r="A530">
        <v>272</v>
      </c>
      <c r="B530">
        <v>64</v>
      </c>
      <c r="D530">
        <v>1</v>
      </c>
      <c r="G530">
        <v>1</v>
      </c>
      <c r="H530">
        <v>2</v>
      </c>
    </row>
    <row r="531" spans="1:9">
      <c r="A531">
        <v>273</v>
      </c>
      <c r="B531">
        <v>64</v>
      </c>
      <c r="D531">
        <v>2</v>
      </c>
      <c r="F531">
        <v>1</v>
      </c>
      <c r="I531">
        <v>1</v>
      </c>
    </row>
    <row r="532" spans="1:9">
      <c r="A532">
        <v>274</v>
      </c>
      <c r="B532">
        <v>64</v>
      </c>
      <c r="C532">
        <v>1</v>
      </c>
      <c r="D532">
        <v>1</v>
      </c>
      <c r="F532">
        <v>1</v>
      </c>
      <c r="H532">
        <v>1</v>
      </c>
    </row>
    <row r="533" spans="1:9">
      <c r="A533">
        <v>275</v>
      </c>
      <c r="B533">
        <v>64</v>
      </c>
      <c r="C533">
        <v>1</v>
      </c>
      <c r="F533">
        <v>2</v>
      </c>
      <c r="I533">
        <v>1</v>
      </c>
    </row>
    <row r="534" spans="1:9">
      <c r="A534">
        <v>276</v>
      </c>
      <c r="B534">
        <v>64</v>
      </c>
      <c r="C534">
        <v>1</v>
      </c>
      <c r="D534">
        <v>1</v>
      </c>
      <c r="F534">
        <v>1</v>
      </c>
      <c r="H534">
        <v>1</v>
      </c>
    </row>
    <row r="535" spans="1:9">
      <c r="A535">
        <v>277</v>
      </c>
      <c r="B535">
        <v>64</v>
      </c>
      <c r="C535">
        <v>1</v>
      </c>
      <c r="E535">
        <v>1</v>
      </c>
      <c r="G535">
        <v>2</v>
      </c>
    </row>
    <row r="536" spans="1:9">
      <c r="A536">
        <v>278</v>
      </c>
      <c r="B536">
        <v>64</v>
      </c>
    </row>
    <row r="537" spans="1:9">
      <c r="A537">
        <v>279</v>
      </c>
      <c r="B537">
        <v>64</v>
      </c>
    </row>
    <row r="538" spans="1:9">
      <c r="A538">
        <v>280</v>
      </c>
      <c r="B538">
        <v>64</v>
      </c>
    </row>
    <row r="539" spans="1:9">
      <c r="A539">
        <v>281</v>
      </c>
      <c r="B539">
        <v>64</v>
      </c>
    </row>
    <row r="540" spans="1:9">
      <c r="A540">
        <v>282</v>
      </c>
      <c r="B540">
        <v>64</v>
      </c>
    </row>
    <row r="541" spans="1:9">
      <c r="A541">
        <v>283</v>
      </c>
      <c r="B541">
        <v>64</v>
      </c>
    </row>
    <row r="542" spans="1:9">
      <c r="A542">
        <v>239</v>
      </c>
      <c r="B542">
        <v>63</v>
      </c>
    </row>
    <row r="543" spans="1:9">
      <c r="A543">
        <v>240</v>
      </c>
      <c r="B543">
        <v>63</v>
      </c>
    </row>
    <row r="544" spans="1:9">
      <c r="A544">
        <v>241</v>
      </c>
      <c r="B544">
        <v>63</v>
      </c>
    </row>
    <row r="545" spans="1:9">
      <c r="A545">
        <v>242</v>
      </c>
      <c r="B545">
        <v>63</v>
      </c>
    </row>
    <row r="546" spans="1:9">
      <c r="A546">
        <v>243</v>
      </c>
      <c r="B546">
        <v>63</v>
      </c>
    </row>
    <row r="547" spans="1:9">
      <c r="A547">
        <v>244</v>
      </c>
      <c r="B547">
        <v>63</v>
      </c>
      <c r="E547">
        <v>1</v>
      </c>
      <c r="G547">
        <v>1</v>
      </c>
      <c r="I547">
        <v>2</v>
      </c>
    </row>
    <row r="548" spans="1:9">
      <c r="A548">
        <v>245</v>
      </c>
      <c r="B548">
        <v>63</v>
      </c>
      <c r="C548">
        <v>1</v>
      </c>
      <c r="G548">
        <v>1</v>
      </c>
      <c r="H548">
        <v>1</v>
      </c>
      <c r="I548">
        <v>1</v>
      </c>
    </row>
    <row r="549" spans="1:9">
      <c r="A549">
        <v>246</v>
      </c>
      <c r="B549">
        <v>63</v>
      </c>
      <c r="C549">
        <v>1</v>
      </c>
      <c r="G549">
        <v>1</v>
      </c>
      <c r="H549">
        <v>1</v>
      </c>
      <c r="I549">
        <v>1</v>
      </c>
    </row>
    <row r="550" spans="1:9">
      <c r="A550">
        <v>247</v>
      </c>
      <c r="B550">
        <v>63</v>
      </c>
      <c r="C550">
        <v>1</v>
      </c>
      <c r="F550">
        <v>1</v>
      </c>
      <c r="I550">
        <v>2</v>
      </c>
    </row>
    <row r="551" spans="1:9">
      <c r="A551">
        <v>248</v>
      </c>
      <c r="B551">
        <v>63</v>
      </c>
      <c r="D551">
        <v>1</v>
      </c>
      <c r="G551">
        <v>2</v>
      </c>
      <c r="I551">
        <v>1</v>
      </c>
    </row>
    <row r="552" spans="1:9">
      <c r="A552">
        <v>249</v>
      </c>
      <c r="B552">
        <v>63</v>
      </c>
      <c r="E552">
        <v>2</v>
      </c>
      <c r="F552">
        <v>1</v>
      </c>
      <c r="H552">
        <v>1</v>
      </c>
    </row>
    <row r="553" spans="1:9">
      <c r="A553">
        <v>250</v>
      </c>
      <c r="B553">
        <v>63</v>
      </c>
      <c r="E553">
        <v>1</v>
      </c>
      <c r="G553">
        <v>2</v>
      </c>
      <c r="H553">
        <v>1</v>
      </c>
    </row>
    <row r="554" spans="1:9">
      <c r="A554">
        <v>251</v>
      </c>
      <c r="B554">
        <v>63</v>
      </c>
      <c r="C554">
        <v>1</v>
      </c>
      <c r="G554">
        <v>1</v>
      </c>
      <c r="H554">
        <v>1</v>
      </c>
      <c r="I554">
        <v>1</v>
      </c>
    </row>
    <row r="555" spans="1:9">
      <c r="A555">
        <v>252</v>
      </c>
      <c r="B555">
        <v>63</v>
      </c>
      <c r="C555">
        <v>1</v>
      </c>
      <c r="D555">
        <v>1</v>
      </c>
      <c r="E555">
        <v>1</v>
      </c>
      <c r="H555">
        <v>1</v>
      </c>
    </row>
    <row r="556" spans="1:9">
      <c r="A556">
        <v>253</v>
      </c>
      <c r="B556">
        <v>63</v>
      </c>
      <c r="C556">
        <v>1</v>
      </c>
      <c r="D556">
        <v>1</v>
      </c>
      <c r="G556">
        <v>1</v>
      </c>
      <c r="I556">
        <v>1</v>
      </c>
    </row>
    <row r="557" spans="1:9">
      <c r="A557">
        <v>254</v>
      </c>
      <c r="B557">
        <v>63</v>
      </c>
      <c r="F557">
        <v>1</v>
      </c>
      <c r="G557">
        <v>1</v>
      </c>
      <c r="H557">
        <v>1</v>
      </c>
      <c r="I557">
        <v>1</v>
      </c>
    </row>
    <row r="558" spans="1:9">
      <c r="A558">
        <v>255</v>
      </c>
      <c r="B558">
        <v>63</v>
      </c>
    </row>
    <row r="559" spans="1:9">
      <c r="A559">
        <v>256</v>
      </c>
      <c r="B559">
        <v>63</v>
      </c>
    </row>
    <row r="560" spans="1:9">
      <c r="A560">
        <v>257</v>
      </c>
      <c r="B560">
        <v>63</v>
      </c>
    </row>
    <row r="561" spans="1:9">
      <c r="A561">
        <v>258</v>
      </c>
      <c r="B561">
        <v>63</v>
      </c>
      <c r="C561">
        <v>1</v>
      </c>
      <c r="D561">
        <v>1</v>
      </c>
      <c r="F561">
        <v>1</v>
      </c>
      <c r="H561">
        <v>1</v>
      </c>
    </row>
    <row r="562" spans="1:9">
      <c r="A562">
        <v>259</v>
      </c>
      <c r="B562">
        <v>63</v>
      </c>
      <c r="D562">
        <v>2</v>
      </c>
      <c r="E562">
        <v>1</v>
      </c>
      <c r="G562">
        <v>1</v>
      </c>
    </row>
    <row r="563" spans="1:9">
      <c r="A563">
        <v>260</v>
      </c>
      <c r="B563">
        <v>63</v>
      </c>
      <c r="C563">
        <v>1</v>
      </c>
      <c r="D563">
        <v>1</v>
      </c>
      <c r="F563">
        <v>1</v>
      </c>
      <c r="G563">
        <v>1</v>
      </c>
    </row>
    <row r="564" spans="1:9">
      <c r="A564">
        <v>261</v>
      </c>
      <c r="B564">
        <v>63</v>
      </c>
    </row>
    <row r="565" spans="1:9">
      <c r="A565">
        <v>262</v>
      </c>
      <c r="B565">
        <v>63</v>
      </c>
      <c r="G565">
        <v>2</v>
      </c>
      <c r="H565">
        <v>1</v>
      </c>
      <c r="I565">
        <v>1</v>
      </c>
    </row>
    <row r="566" spans="1:9">
      <c r="A566">
        <v>263</v>
      </c>
      <c r="B566">
        <v>63</v>
      </c>
      <c r="C566">
        <v>1</v>
      </c>
      <c r="D566">
        <v>1</v>
      </c>
      <c r="F566">
        <v>1</v>
      </c>
      <c r="H566">
        <v>1</v>
      </c>
    </row>
    <row r="567" spans="1:9">
      <c r="A567">
        <v>264</v>
      </c>
      <c r="B567">
        <v>63</v>
      </c>
      <c r="F567">
        <v>2</v>
      </c>
      <c r="G567">
        <v>1</v>
      </c>
      <c r="H567">
        <v>1</v>
      </c>
    </row>
    <row r="568" spans="1:9">
      <c r="A568">
        <v>265</v>
      </c>
      <c r="B568">
        <v>63</v>
      </c>
      <c r="E568">
        <v>2</v>
      </c>
      <c r="G568">
        <v>1</v>
      </c>
      <c r="I568">
        <v>1</v>
      </c>
    </row>
    <row r="569" spans="1:9">
      <c r="A569">
        <v>266</v>
      </c>
      <c r="B569">
        <v>63</v>
      </c>
      <c r="C569">
        <v>1</v>
      </c>
      <c r="D569">
        <v>1</v>
      </c>
      <c r="F569">
        <v>1</v>
      </c>
      <c r="I569">
        <v>1</v>
      </c>
    </row>
    <row r="570" spans="1:9">
      <c r="A570">
        <v>267</v>
      </c>
      <c r="B570">
        <v>63</v>
      </c>
    </row>
    <row r="571" spans="1:9">
      <c r="A571">
        <v>268</v>
      </c>
      <c r="B571">
        <v>63</v>
      </c>
    </row>
    <row r="572" spans="1:9">
      <c r="A572">
        <v>269</v>
      </c>
      <c r="B572">
        <v>63</v>
      </c>
      <c r="D572">
        <v>1</v>
      </c>
      <c r="G572">
        <v>2</v>
      </c>
      <c r="H572">
        <v>1</v>
      </c>
    </row>
    <row r="573" spans="1:9">
      <c r="A573">
        <v>270</v>
      </c>
      <c r="B573">
        <v>63</v>
      </c>
      <c r="D573">
        <v>1</v>
      </c>
      <c r="F573">
        <v>1</v>
      </c>
      <c r="G573">
        <v>1</v>
      </c>
      <c r="H573">
        <v>1</v>
      </c>
    </row>
    <row r="574" spans="1:9">
      <c r="A574">
        <v>271</v>
      </c>
      <c r="B574">
        <v>63</v>
      </c>
    </row>
    <row r="575" spans="1:9">
      <c r="A575">
        <v>272</v>
      </c>
      <c r="B575">
        <v>63</v>
      </c>
      <c r="C575">
        <v>1</v>
      </c>
      <c r="D575">
        <v>1</v>
      </c>
      <c r="H575">
        <v>2</v>
      </c>
    </row>
    <row r="576" spans="1:9">
      <c r="A576">
        <v>273</v>
      </c>
      <c r="B576">
        <v>63</v>
      </c>
      <c r="F576">
        <v>1</v>
      </c>
      <c r="G576">
        <v>1</v>
      </c>
      <c r="I576">
        <v>2</v>
      </c>
    </row>
    <row r="577" spans="1:9">
      <c r="A577">
        <v>274</v>
      </c>
      <c r="B577">
        <v>63</v>
      </c>
      <c r="E577">
        <v>1</v>
      </c>
      <c r="H577">
        <v>2</v>
      </c>
      <c r="I577">
        <v>1</v>
      </c>
    </row>
    <row r="578" spans="1:9">
      <c r="A578">
        <v>275</v>
      </c>
      <c r="B578">
        <v>63</v>
      </c>
      <c r="D578">
        <v>1</v>
      </c>
      <c r="F578">
        <v>1</v>
      </c>
      <c r="G578">
        <v>1</v>
      </c>
      <c r="H578">
        <v>1</v>
      </c>
    </row>
    <row r="579" spans="1:9">
      <c r="A579">
        <v>276</v>
      </c>
      <c r="B579">
        <v>63</v>
      </c>
      <c r="C579">
        <v>1</v>
      </c>
      <c r="D579">
        <v>1</v>
      </c>
      <c r="E579">
        <v>1</v>
      </c>
      <c r="G579">
        <v>1</v>
      </c>
    </row>
    <row r="580" spans="1:9">
      <c r="A580">
        <v>277</v>
      </c>
      <c r="B580">
        <v>63</v>
      </c>
      <c r="D580">
        <v>2</v>
      </c>
      <c r="F580">
        <v>1</v>
      </c>
      <c r="H580">
        <v>1</v>
      </c>
    </row>
    <row r="581" spans="1:9">
      <c r="A581">
        <v>278</v>
      </c>
      <c r="B581">
        <v>63</v>
      </c>
    </row>
    <row r="582" spans="1:9">
      <c r="A582">
        <v>279</v>
      </c>
      <c r="B582">
        <v>63</v>
      </c>
    </row>
    <row r="583" spans="1:9">
      <c r="A583">
        <v>280</v>
      </c>
      <c r="B583">
        <v>63</v>
      </c>
    </row>
    <row r="584" spans="1:9">
      <c r="A584">
        <v>281</v>
      </c>
      <c r="B584">
        <v>63</v>
      </c>
    </row>
    <row r="585" spans="1:9">
      <c r="A585">
        <v>282</v>
      </c>
      <c r="B585">
        <v>63</v>
      </c>
    </row>
    <row r="586" spans="1:9">
      <c r="A586">
        <v>283</v>
      </c>
      <c r="B586">
        <v>63</v>
      </c>
    </row>
    <row r="587" spans="1:9">
      <c r="A587">
        <v>239</v>
      </c>
      <c r="B587">
        <v>62</v>
      </c>
    </row>
    <row r="588" spans="1:9">
      <c r="A588">
        <v>240</v>
      </c>
      <c r="B588">
        <v>62</v>
      </c>
    </row>
    <row r="589" spans="1:9">
      <c r="A589">
        <v>241</v>
      </c>
      <c r="B589">
        <v>62</v>
      </c>
    </row>
    <row r="590" spans="1:9">
      <c r="A590">
        <v>242</v>
      </c>
      <c r="B590">
        <v>62</v>
      </c>
    </row>
    <row r="591" spans="1:9">
      <c r="A591">
        <v>243</v>
      </c>
      <c r="B591">
        <v>62</v>
      </c>
    </row>
    <row r="592" spans="1:9">
      <c r="A592">
        <v>244</v>
      </c>
      <c r="B592">
        <v>62</v>
      </c>
      <c r="C592">
        <v>1</v>
      </c>
      <c r="D592">
        <v>1</v>
      </c>
      <c r="E592">
        <v>1</v>
      </c>
      <c r="F592">
        <v>1</v>
      </c>
    </row>
    <row r="593" spans="1:9">
      <c r="A593">
        <v>245</v>
      </c>
      <c r="B593">
        <v>62</v>
      </c>
      <c r="C593">
        <v>1</v>
      </c>
      <c r="D593">
        <v>1</v>
      </c>
      <c r="G593">
        <v>1</v>
      </c>
      <c r="H593">
        <v>1</v>
      </c>
    </row>
    <row r="594" spans="1:9">
      <c r="A594">
        <v>246</v>
      </c>
      <c r="B594">
        <v>62</v>
      </c>
    </row>
    <row r="595" spans="1:9">
      <c r="A595">
        <v>247</v>
      </c>
      <c r="B595">
        <v>62</v>
      </c>
    </row>
    <row r="596" spans="1:9">
      <c r="A596">
        <v>248</v>
      </c>
      <c r="B596">
        <v>62</v>
      </c>
      <c r="D596">
        <v>2</v>
      </c>
      <c r="F596">
        <v>1</v>
      </c>
      <c r="I596">
        <v>1</v>
      </c>
    </row>
    <row r="597" spans="1:9">
      <c r="A597">
        <v>249</v>
      </c>
      <c r="B597">
        <v>62</v>
      </c>
    </row>
    <row r="598" spans="1:9">
      <c r="A598">
        <v>250</v>
      </c>
      <c r="B598">
        <v>62</v>
      </c>
    </row>
    <row r="599" spans="1:9">
      <c r="A599">
        <v>251</v>
      </c>
      <c r="B599">
        <v>62</v>
      </c>
    </row>
    <row r="600" spans="1:9">
      <c r="A600">
        <v>252</v>
      </c>
      <c r="B600">
        <v>62</v>
      </c>
      <c r="D600">
        <v>1</v>
      </c>
      <c r="E600">
        <v>1</v>
      </c>
      <c r="I600">
        <v>2</v>
      </c>
    </row>
    <row r="601" spans="1:9">
      <c r="A601">
        <v>253</v>
      </c>
      <c r="B601">
        <v>62</v>
      </c>
      <c r="C601">
        <v>1</v>
      </c>
      <c r="D601">
        <v>1</v>
      </c>
      <c r="H601">
        <v>1</v>
      </c>
      <c r="I601">
        <v>1</v>
      </c>
    </row>
    <row r="602" spans="1:9">
      <c r="A602">
        <v>254</v>
      </c>
      <c r="B602">
        <v>62</v>
      </c>
    </row>
    <row r="603" spans="1:9">
      <c r="A603">
        <v>255</v>
      </c>
      <c r="B603">
        <v>62</v>
      </c>
      <c r="C603">
        <v>1</v>
      </c>
      <c r="D603">
        <v>1</v>
      </c>
      <c r="F603">
        <v>1</v>
      </c>
      <c r="H603">
        <v>1</v>
      </c>
    </row>
    <row r="604" spans="1:9">
      <c r="A604">
        <v>256</v>
      </c>
      <c r="B604">
        <v>62</v>
      </c>
      <c r="F604">
        <v>2</v>
      </c>
      <c r="H604">
        <v>1</v>
      </c>
      <c r="I604">
        <v>1</v>
      </c>
    </row>
    <row r="605" spans="1:9">
      <c r="A605">
        <v>257</v>
      </c>
      <c r="B605">
        <v>62</v>
      </c>
    </row>
    <row r="606" spans="1:9">
      <c r="A606">
        <v>258</v>
      </c>
      <c r="B606">
        <v>62</v>
      </c>
      <c r="C606">
        <v>1</v>
      </c>
      <c r="D606">
        <v>1</v>
      </c>
      <c r="F606">
        <v>1</v>
      </c>
      <c r="H606">
        <v>1</v>
      </c>
    </row>
    <row r="607" spans="1:9">
      <c r="A607">
        <v>259</v>
      </c>
      <c r="B607">
        <v>62</v>
      </c>
      <c r="C607">
        <v>1</v>
      </c>
      <c r="D607">
        <v>1</v>
      </c>
      <c r="E607">
        <v>1</v>
      </c>
      <c r="H607">
        <v>1</v>
      </c>
    </row>
    <row r="608" spans="1:9">
      <c r="A608">
        <v>260</v>
      </c>
      <c r="B608">
        <v>62</v>
      </c>
      <c r="D608">
        <v>2</v>
      </c>
      <c r="F608">
        <v>1</v>
      </c>
      <c r="G608">
        <v>1</v>
      </c>
    </row>
    <row r="609" spans="1:9">
      <c r="A609">
        <v>261</v>
      </c>
      <c r="B609">
        <v>62</v>
      </c>
      <c r="F609">
        <v>1</v>
      </c>
      <c r="G609">
        <v>1</v>
      </c>
      <c r="H609">
        <v>2</v>
      </c>
    </row>
    <row r="610" spans="1:9">
      <c r="A610">
        <v>262</v>
      </c>
      <c r="B610">
        <v>62</v>
      </c>
      <c r="D610">
        <v>1</v>
      </c>
      <c r="F610">
        <v>1</v>
      </c>
      <c r="G610">
        <v>2</v>
      </c>
    </row>
    <row r="611" spans="1:9">
      <c r="A611">
        <v>263</v>
      </c>
      <c r="B611">
        <v>62</v>
      </c>
    </row>
    <row r="612" spans="1:9">
      <c r="A612">
        <v>264</v>
      </c>
      <c r="B612">
        <v>62</v>
      </c>
      <c r="E612">
        <v>1</v>
      </c>
      <c r="F612">
        <v>1</v>
      </c>
      <c r="G612">
        <v>2</v>
      </c>
    </row>
    <row r="613" spans="1:9">
      <c r="A613">
        <v>265</v>
      </c>
      <c r="B613">
        <v>62</v>
      </c>
      <c r="C613">
        <v>1</v>
      </c>
      <c r="E613">
        <v>1</v>
      </c>
      <c r="H613">
        <v>1</v>
      </c>
      <c r="I613">
        <v>1</v>
      </c>
    </row>
    <row r="614" spans="1:9">
      <c r="A614">
        <v>266</v>
      </c>
      <c r="B614">
        <v>62</v>
      </c>
      <c r="D614">
        <v>1</v>
      </c>
      <c r="F614">
        <v>1</v>
      </c>
      <c r="H614">
        <v>1</v>
      </c>
      <c r="I614">
        <v>1</v>
      </c>
    </row>
    <row r="615" spans="1:9">
      <c r="A615">
        <v>267</v>
      </c>
      <c r="B615">
        <v>62</v>
      </c>
      <c r="D615">
        <v>1</v>
      </c>
      <c r="F615">
        <v>1</v>
      </c>
      <c r="H615">
        <v>2</v>
      </c>
    </row>
    <row r="616" spans="1:9">
      <c r="A616">
        <v>268</v>
      </c>
      <c r="B616">
        <v>62</v>
      </c>
      <c r="E616">
        <v>1</v>
      </c>
      <c r="F616">
        <v>2</v>
      </c>
      <c r="H616">
        <v>1</v>
      </c>
    </row>
    <row r="617" spans="1:9">
      <c r="A617">
        <v>269</v>
      </c>
      <c r="B617">
        <v>62</v>
      </c>
      <c r="C617">
        <v>1</v>
      </c>
      <c r="E617">
        <v>1</v>
      </c>
      <c r="H617">
        <v>1</v>
      </c>
      <c r="I617">
        <v>1</v>
      </c>
    </row>
    <row r="618" spans="1:9">
      <c r="A618">
        <v>270</v>
      </c>
      <c r="B618">
        <v>62</v>
      </c>
      <c r="D618">
        <v>1</v>
      </c>
      <c r="G618">
        <v>2</v>
      </c>
      <c r="H618">
        <v>1</v>
      </c>
    </row>
    <row r="619" spans="1:9">
      <c r="A619">
        <v>271</v>
      </c>
      <c r="B619">
        <v>62</v>
      </c>
      <c r="D619">
        <v>1</v>
      </c>
      <c r="E619">
        <v>1</v>
      </c>
      <c r="G619">
        <v>1</v>
      </c>
      <c r="I619">
        <v>1</v>
      </c>
    </row>
    <row r="620" spans="1:9">
      <c r="A620">
        <v>272</v>
      </c>
      <c r="B620">
        <v>62</v>
      </c>
      <c r="E620">
        <v>1</v>
      </c>
      <c r="G620">
        <v>1</v>
      </c>
      <c r="H620">
        <v>1</v>
      </c>
      <c r="I620">
        <v>1</v>
      </c>
    </row>
    <row r="621" spans="1:9">
      <c r="A621">
        <v>273</v>
      </c>
      <c r="B621">
        <v>62</v>
      </c>
      <c r="D621">
        <v>1</v>
      </c>
      <c r="G621">
        <v>1</v>
      </c>
      <c r="H621">
        <v>1</v>
      </c>
      <c r="I621">
        <v>1</v>
      </c>
    </row>
    <row r="622" spans="1:9">
      <c r="A622">
        <v>274</v>
      </c>
      <c r="B622">
        <v>62</v>
      </c>
      <c r="D622">
        <v>1</v>
      </c>
      <c r="E622">
        <v>1</v>
      </c>
      <c r="F622">
        <v>1</v>
      </c>
      <c r="H622">
        <v>1</v>
      </c>
    </row>
    <row r="623" spans="1:9">
      <c r="A623">
        <v>275</v>
      </c>
      <c r="B623">
        <v>62</v>
      </c>
      <c r="D623">
        <v>1</v>
      </c>
      <c r="G623">
        <v>1</v>
      </c>
      <c r="H623">
        <v>1</v>
      </c>
      <c r="I623">
        <v>1</v>
      </c>
    </row>
    <row r="624" spans="1:9">
      <c r="A624">
        <v>276</v>
      </c>
      <c r="B624">
        <v>62</v>
      </c>
      <c r="F624">
        <v>2</v>
      </c>
      <c r="G624">
        <v>1</v>
      </c>
      <c r="H624">
        <v>1</v>
      </c>
    </row>
    <row r="625" spans="1:9">
      <c r="A625">
        <v>277</v>
      </c>
      <c r="B625">
        <v>62</v>
      </c>
      <c r="F625">
        <v>1</v>
      </c>
      <c r="G625">
        <v>2</v>
      </c>
      <c r="H625">
        <v>1</v>
      </c>
    </row>
    <row r="626" spans="1:9">
      <c r="A626">
        <v>278</v>
      </c>
      <c r="B626">
        <v>62</v>
      </c>
    </row>
    <row r="627" spans="1:9">
      <c r="A627">
        <v>279</v>
      </c>
      <c r="B627">
        <v>62</v>
      </c>
    </row>
    <row r="628" spans="1:9">
      <c r="A628">
        <v>280</v>
      </c>
      <c r="B628">
        <v>62</v>
      </c>
    </row>
    <row r="629" spans="1:9">
      <c r="A629">
        <v>281</v>
      </c>
      <c r="B629">
        <v>62</v>
      </c>
    </row>
    <row r="630" spans="1:9">
      <c r="A630">
        <v>282</v>
      </c>
      <c r="B630">
        <v>62</v>
      </c>
    </row>
    <row r="631" spans="1:9">
      <c r="A631">
        <v>283</v>
      </c>
      <c r="B631">
        <v>62</v>
      </c>
    </row>
    <row r="632" spans="1:9">
      <c r="A632">
        <v>239</v>
      </c>
      <c r="B632">
        <v>61</v>
      </c>
    </row>
    <row r="633" spans="1:9">
      <c r="A633">
        <v>240</v>
      </c>
      <c r="B633">
        <v>61</v>
      </c>
    </row>
    <row r="634" spans="1:9">
      <c r="A634">
        <v>241</v>
      </c>
      <c r="B634">
        <v>61</v>
      </c>
    </row>
    <row r="635" spans="1:9">
      <c r="A635">
        <v>242</v>
      </c>
      <c r="B635">
        <v>61</v>
      </c>
    </row>
    <row r="636" spans="1:9">
      <c r="A636">
        <v>243</v>
      </c>
      <c r="B636">
        <v>61</v>
      </c>
    </row>
    <row r="637" spans="1:9">
      <c r="A637">
        <v>244</v>
      </c>
      <c r="B637">
        <v>61</v>
      </c>
    </row>
    <row r="638" spans="1:9">
      <c r="A638">
        <v>245</v>
      </c>
      <c r="B638">
        <v>61</v>
      </c>
      <c r="C638">
        <v>1</v>
      </c>
      <c r="E638">
        <v>1</v>
      </c>
      <c r="F638">
        <v>1</v>
      </c>
      <c r="H638">
        <v>1</v>
      </c>
    </row>
    <row r="639" spans="1:9">
      <c r="A639">
        <v>246</v>
      </c>
      <c r="B639">
        <v>61</v>
      </c>
      <c r="C639">
        <v>1</v>
      </c>
      <c r="F639">
        <v>1</v>
      </c>
      <c r="H639">
        <v>1</v>
      </c>
      <c r="I639">
        <v>1</v>
      </c>
    </row>
    <row r="640" spans="1:9">
      <c r="A640">
        <v>247</v>
      </c>
      <c r="B640">
        <v>61</v>
      </c>
    </row>
    <row r="641" spans="1:9">
      <c r="A641">
        <v>248</v>
      </c>
      <c r="B641">
        <v>61</v>
      </c>
    </row>
    <row r="642" spans="1:9">
      <c r="A642">
        <v>249</v>
      </c>
      <c r="B642">
        <v>61</v>
      </c>
    </row>
    <row r="643" spans="1:9">
      <c r="A643">
        <v>250</v>
      </c>
      <c r="B643">
        <v>61</v>
      </c>
    </row>
    <row r="644" spans="1:9">
      <c r="A644">
        <v>251</v>
      </c>
      <c r="B644">
        <v>61</v>
      </c>
    </row>
    <row r="645" spans="1:9">
      <c r="A645">
        <v>252</v>
      </c>
      <c r="B645">
        <v>61</v>
      </c>
      <c r="E645">
        <v>1</v>
      </c>
      <c r="F645">
        <v>1</v>
      </c>
      <c r="H645">
        <v>1</v>
      </c>
      <c r="I645">
        <v>1</v>
      </c>
    </row>
    <row r="646" spans="1:9">
      <c r="A646">
        <v>253</v>
      </c>
      <c r="B646">
        <v>61</v>
      </c>
      <c r="D646">
        <v>1</v>
      </c>
      <c r="F646">
        <v>1</v>
      </c>
      <c r="G646">
        <v>1</v>
      </c>
      <c r="I646">
        <v>1</v>
      </c>
    </row>
    <row r="647" spans="1:9">
      <c r="A647">
        <v>254</v>
      </c>
      <c r="B647">
        <v>61</v>
      </c>
    </row>
    <row r="648" spans="1:9">
      <c r="A648">
        <v>255</v>
      </c>
      <c r="B648">
        <v>61</v>
      </c>
      <c r="C648">
        <v>1</v>
      </c>
      <c r="F648">
        <v>1</v>
      </c>
      <c r="H648">
        <v>1</v>
      </c>
      <c r="I648">
        <v>1</v>
      </c>
    </row>
    <row r="649" spans="1:9">
      <c r="A649">
        <v>256</v>
      </c>
      <c r="B649">
        <v>61</v>
      </c>
      <c r="C649">
        <v>1</v>
      </c>
      <c r="D649">
        <v>1</v>
      </c>
      <c r="F649">
        <v>2</v>
      </c>
    </row>
    <row r="650" spans="1:9">
      <c r="A650">
        <v>257</v>
      </c>
      <c r="B650">
        <v>61</v>
      </c>
      <c r="C650">
        <v>1</v>
      </c>
      <c r="D650">
        <v>1</v>
      </c>
      <c r="F650">
        <v>2</v>
      </c>
    </row>
    <row r="651" spans="1:9">
      <c r="A651">
        <v>258</v>
      </c>
      <c r="B651">
        <v>61</v>
      </c>
      <c r="C651">
        <v>1</v>
      </c>
      <c r="E651">
        <v>1</v>
      </c>
      <c r="F651">
        <v>1</v>
      </c>
      <c r="H651">
        <v>1</v>
      </c>
    </row>
    <row r="652" spans="1:9">
      <c r="A652">
        <v>259</v>
      </c>
      <c r="B652">
        <v>61</v>
      </c>
      <c r="C652">
        <v>1</v>
      </c>
      <c r="D652">
        <v>1</v>
      </c>
      <c r="E652">
        <v>1</v>
      </c>
      <c r="H652">
        <v>1</v>
      </c>
    </row>
    <row r="653" spans="1:9">
      <c r="A653">
        <v>260</v>
      </c>
      <c r="B653">
        <v>61</v>
      </c>
      <c r="D653">
        <v>1</v>
      </c>
      <c r="E653">
        <v>1</v>
      </c>
      <c r="H653">
        <v>1</v>
      </c>
      <c r="I653">
        <v>1</v>
      </c>
    </row>
    <row r="654" spans="1:9">
      <c r="A654">
        <v>261</v>
      </c>
      <c r="B654">
        <v>61</v>
      </c>
      <c r="C654">
        <v>1</v>
      </c>
      <c r="D654">
        <v>1</v>
      </c>
      <c r="G654">
        <v>1</v>
      </c>
      <c r="H654">
        <v>1</v>
      </c>
    </row>
    <row r="655" spans="1:9">
      <c r="A655">
        <v>262</v>
      </c>
      <c r="B655">
        <v>61</v>
      </c>
      <c r="C655">
        <v>1</v>
      </c>
      <c r="D655">
        <v>1</v>
      </c>
      <c r="E655">
        <v>1</v>
      </c>
      <c r="I655">
        <v>1</v>
      </c>
    </row>
    <row r="656" spans="1:9">
      <c r="A656">
        <v>263</v>
      </c>
      <c r="B656">
        <v>61</v>
      </c>
    </row>
    <row r="657" spans="1:9">
      <c r="A657">
        <v>264</v>
      </c>
      <c r="B657">
        <v>61</v>
      </c>
    </row>
    <row r="658" spans="1:9">
      <c r="A658">
        <v>265</v>
      </c>
      <c r="B658">
        <v>61</v>
      </c>
      <c r="D658">
        <v>1</v>
      </c>
      <c r="F658">
        <v>2</v>
      </c>
      <c r="H658">
        <v>1</v>
      </c>
    </row>
    <row r="659" spans="1:9">
      <c r="A659">
        <v>266</v>
      </c>
      <c r="B659">
        <v>61</v>
      </c>
      <c r="D659">
        <v>1</v>
      </c>
      <c r="E659">
        <v>1</v>
      </c>
      <c r="F659">
        <v>1</v>
      </c>
      <c r="H659">
        <v>1</v>
      </c>
    </row>
    <row r="660" spans="1:9">
      <c r="A660">
        <v>267</v>
      </c>
      <c r="B660">
        <v>61</v>
      </c>
      <c r="D660">
        <v>1</v>
      </c>
      <c r="E660">
        <v>1</v>
      </c>
      <c r="F660">
        <v>1</v>
      </c>
      <c r="H660">
        <v>1</v>
      </c>
    </row>
    <row r="661" spans="1:9">
      <c r="A661">
        <v>268</v>
      </c>
      <c r="B661">
        <v>61</v>
      </c>
    </row>
    <row r="662" spans="1:9">
      <c r="A662">
        <v>269</v>
      </c>
      <c r="B662">
        <v>61</v>
      </c>
      <c r="E662">
        <v>2</v>
      </c>
      <c r="F662">
        <v>1</v>
      </c>
      <c r="G662">
        <v>1</v>
      </c>
    </row>
    <row r="663" spans="1:9">
      <c r="A663">
        <v>270</v>
      </c>
      <c r="B663">
        <v>61</v>
      </c>
      <c r="C663">
        <v>1</v>
      </c>
      <c r="D663">
        <v>1</v>
      </c>
      <c r="G663">
        <v>1</v>
      </c>
      <c r="H663">
        <v>1</v>
      </c>
    </row>
    <row r="664" spans="1:9">
      <c r="A664">
        <v>271</v>
      </c>
      <c r="B664">
        <v>61</v>
      </c>
      <c r="C664">
        <v>1</v>
      </c>
      <c r="H664">
        <v>1</v>
      </c>
      <c r="I664">
        <v>2</v>
      </c>
    </row>
    <row r="665" spans="1:9">
      <c r="A665">
        <v>272</v>
      </c>
      <c r="B665">
        <v>61</v>
      </c>
      <c r="C665">
        <v>1</v>
      </c>
      <c r="E665">
        <v>1</v>
      </c>
      <c r="H665">
        <v>1</v>
      </c>
      <c r="I665">
        <v>1</v>
      </c>
    </row>
    <row r="666" spans="1:9">
      <c r="A666">
        <v>273</v>
      </c>
      <c r="B666">
        <v>61</v>
      </c>
      <c r="C666">
        <v>1</v>
      </c>
      <c r="E666">
        <v>1</v>
      </c>
      <c r="F666">
        <v>1</v>
      </c>
      <c r="G666">
        <v>1</v>
      </c>
    </row>
    <row r="667" spans="1:9">
      <c r="A667">
        <v>274</v>
      </c>
      <c r="B667">
        <v>61</v>
      </c>
      <c r="C667">
        <v>1</v>
      </c>
      <c r="E667">
        <v>1</v>
      </c>
      <c r="H667">
        <v>1</v>
      </c>
      <c r="I667">
        <v>1</v>
      </c>
    </row>
    <row r="668" spans="1:9">
      <c r="A668">
        <v>275</v>
      </c>
      <c r="B668">
        <v>61</v>
      </c>
      <c r="C668">
        <v>1</v>
      </c>
      <c r="E668">
        <v>1</v>
      </c>
      <c r="G668">
        <v>1</v>
      </c>
      <c r="I668">
        <v>1</v>
      </c>
    </row>
    <row r="669" spans="1:9">
      <c r="A669">
        <v>276</v>
      </c>
      <c r="B669">
        <v>61</v>
      </c>
    </row>
    <row r="670" spans="1:9">
      <c r="A670">
        <v>277</v>
      </c>
      <c r="B670">
        <v>61</v>
      </c>
      <c r="C670">
        <v>1</v>
      </c>
      <c r="E670">
        <v>1</v>
      </c>
      <c r="F670">
        <v>1</v>
      </c>
      <c r="G670">
        <v>1</v>
      </c>
    </row>
    <row r="671" spans="1:9">
      <c r="A671">
        <v>278</v>
      </c>
      <c r="B671">
        <v>61</v>
      </c>
    </row>
    <row r="672" spans="1:9">
      <c r="A672">
        <v>279</v>
      </c>
      <c r="B672">
        <v>61</v>
      </c>
    </row>
    <row r="673" spans="1:2">
      <c r="A673">
        <v>280</v>
      </c>
      <c r="B673">
        <v>61</v>
      </c>
    </row>
    <row r="674" spans="1:2">
      <c r="A674">
        <v>281</v>
      </c>
      <c r="B674">
        <v>61</v>
      </c>
    </row>
    <row r="675" spans="1:2">
      <c r="A675">
        <v>282</v>
      </c>
      <c r="B675">
        <v>61</v>
      </c>
    </row>
    <row r="676" spans="1:2">
      <c r="A676">
        <v>283</v>
      </c>
      <c r="B676">
        <v>61</v>
      </c>
    </row>
    <row r="677" spans="1:2">
      <c r="A677">
        <v>239</v>
      </c>
      <c r="B677">
        <v>60</v>
      </c>
    </row>
    <row r="678" spans="1:2">
      <c r="A678">
        <v>240</v>
      </c>
      <c r="B678">
        <v>60</v>
      </c>
    </row>
    <row r="679" spans="1:2">
      <c r="A679">
        <v>241</v>
      </c>
      <c r="B679">
        <v>60</v>
      </c>
    </row>
    <row r="680" spans="1:2">
      <c r="A680">
        <v>242</v>
      </c>
      <c r="B680">
        <v>60</v>
      </c>
    </row>
    <row r="681" spans="1:2">
      <c r="A681">
        <v>243</v>
      </c>
      <c r="B681">
        <v>60</v>
      </c>
    </row>
    <row r="682" spans="1:2">
      <c r="A682">
        <v>244</v>
      </c>
      <c r="B682">
        <v>60</v>
      </c>
    </row>
    <row r="683" spans="1:2">
      <c r="A683">
        <v>245</v>
      </c>
      <c r="B683">
        <v>60</v>
      </c>
    </row>
    <row r="684" spans="1:2">
      <c r="A684">
        <v>246</v>
      </c>
      <c r="B684">
        <v>60</v>
      </c>
    </row>
    <row r="685" spans="1:2">
      <c r="A685">
        <v>247</v>
      </c>
      <c r="B685">
        <v>60</v>
      </c>
    </row>
    <row r="686" spans="1:2">
      <c r="A686">
        <v>248</v>
      </c>
      <c r="B686">
        <v>60</v>
      </c>
    </row>
    <row r="687" spans="1:2">
      <c r="A687">
        <v>249</v>
      </c>
      <c r="B687">
        <v>60</v>
      </c>
    </row>
    <row r="688" spans="1:2">
      <c r="A688">
        <v>250</v>
      </c>
      <c r="B688">
        <v>60</v>
      </c>
    </row>
    <row r="689" spans="1:9">
      <c r="A689">
        <v>251</v>
      </c>
      <c r="B689">
        <v>60</v>
      </c>
      <c r="D689">
        <v>2</v>
      </c>
      <c r="G689">
        <v>1</v>
      </c>
      <c r="H689">
        <v>1</v>
      </c>
    </row>
    <row r="690" spans="1:9">
      <c r="A690">
        <v>252</v>
      </c>
      <c r="B690">
        <v>60</v>
      </c>
      <c r="D690">
        <v>1</v>
      </c>
      <c r="F690">
        <v>1</v>
      </c>
      <c r="G690">
        <v>1</v>
      </c>
      <c r="I690">
        <v>1</v>
      </c>
    </row>
    <row r="691" spans="1:9">
      <c r="A691">
        <v>253</v>
      </c>
      <c r="B691">
        <v>60</v>
      </c>
    </row>
    <row r="692" spans="1:9">
      <c r="A692">
        <v>254</v>
      </c>
      <c r="B692">
        <v>60</v>
      </c>
      <c r="F692">
        <v>2</v>
      </c>
      <c r="G692">
        <v>1</v>
      </c>
      <c r="I692">
        <v>1</v>
      </c>
    </row>
    <row r="693" spans="1:9">
      <c r="A693">
        <v>255</v>
      </c>
      <c r="B693">
        <v>60</v>
      </c>
      <c r="C693">
        <v>1</v>
      </c>
      <c r="D693">
        <v>1</v>
      </c>
      <c r="H693">
        <v>1</v>
      </c>
      <c r="I693">
        <v>1</v>
      </c>
    </row>
    <row r="694" spans="1:9">
      <c r="A694">
        <v>256</v>
      </c>
      <c r="B694">
        <v>60</v>
      </c>
    </row>
    <row r="695" spans="1:9">
      <c r="A695">
        <v>257</v>
      </c>
      <c r="B695">
        <v>60</v>
      </c>
      <c r="D695">
        <v>1</v>
      </c>
      <c r="E695">
        <v>1</v>
      </c>
      <c r="F695">
        <v>1</v>
      </c>
      <c r="H695">
        <v>1</v>
      </c>
    </row>
    <row r="696" spans="1:9">
      <c r="A696">
        <v>258</v>
      </c>
      <c r="B696">
        <v>60</v>
      </c>
    </row>
    <row r="697" spans="1:9">
      <c r="A697">
        <v>259</v>
      </c>
      <c r="B697">
        <v>60</v>
      </c>
      <c r="D697">
        <v>1</v>
      </c>
      <c r="E697">
        <v>1</v>
      </c>
      <c r="F697">
        <v>1</v>
      </c>
      <c r="G697">
        <v>1</v>
      </c>
    </row>
    <row r="698" spans="1:9">
      <c r="A698">
        <v>260</v>
      </c>
      <c r="B698">
        <v>60</v>
      </c>
    </row>
    <row r="699" spans="1:9">
      <c r="A699">
        <v>261</v>
      </c>
      <c r="B699">
        <v>60</v>
      </c>
      <c r="D699">
        <v>1</v>
      </c>
      <c r="E699">
        <v>1</v>
      </c>
      <c r="H699">
        <v>1</v>
      </c>
      <c r="I699">
        <v>1</v>
      </c>
    </row>
    <row r="700" spans="1:9">
      <c r="A700">
        <v>262</v>
      </c>
      <c r="B700">
        <v>60</v>
      </c>
      <c r="C700">
        <v>1</v>
      </c>
      <c r="E700">
        <v>1</v>
      </c>
      <c r="F700">
        <v>1</v>
      </c>
      <c r="G700">
        <v>1</v>
      </c>
    </row>
    <row r="701" spans="1:9">
      <c r="A701">
        <v>263</v>
      </c>
      <c r="B701">
        <v>60</v>
      </c>
      <c r="C701">
        <v>1</v>
      </c>
      <c r="G701">
        <v>1</v>
      </c>
      <c r="H701">
        <v>1</v>
      </c>
      <c r="I701">
        <v>1</v>
      </c>
    </row>
    <row r="702" spans="1:9">
      <c r="A702">
        <v>264</v>
      </c>
      <c r="B702">
        <v>60</v>
      </c>
      <c r="D702">
        <v>1</v>
      </c>
      <c r="F702">
        <v>2</v>
      </c>
      <c r="G702">
        <v>1</v>
      </c>
    </row>
    <row r="703" spans="1:9">
      <c r="A703">
        <v>265</v>
      </c>
      <c r="B703">
        <v>60</v>
      </c>
      <c r="D703">
        <v>1</v>
      </c>
      <c r="E703">
        <v>1</v>
      </c>
      <c r="F703">
        <v>1</v>
      </c>
      <c r="H703">
        <v>1</v>
      </c>
    </row>
    <row r="704" spans="1:9">
      <c r="A704">
        <v>266</v>
      </c>
      <c r="B704">
        <v>60</v>
      </c>
      <c r="D704">
        <v>1</v>
      </c>
      <c r="E704">
        <v>1</v>
      </c>
      <c r="G704">
        <v>1</v>
      </c>
      <c r="I704">
        <v>1</v>
      </c>
    </row>
    <row r="705" spans="1:9">
      <c r="A705">
        <v>267</v>
      </c>
      <c r="B705">
        <v>60</v>
      </c>
    </row>
    <row r="706" spans="1:9">
      <c r="A706">
        <v>268</v>
      </c>
      <c r="B706">
        <v>60</v>
      </c>
      <c r="E706">
        <v>1</v>
      </c>
      <c r="F706">
        <v>1</v>
      </c>
      <c r="G706">
        <v>1</v>
      </c>
      <c r="H706">
        <v>1</v>
      </c>
    </row>
    <row r="707" spans="1:9">
      <c r="A707">
        <v>269</v>
      </c>
      <c r="B707">
        <v>60</v>
      </c>
    </row>
    <row r="708" spans="1:9">
      <c r="A708">
        <v>270</v>
      </c>
      <c r="B708">
        <v>60</v>
      </c>
    </row>
    <row r="709" spans="1:9">
      <c r="A709">
        <v>271</v>
      </c>
      <c r="B709">
        <v>60</v>
      </c>
      <c r="D709">
        <v>1</v>
      </c>
      <c r="E709">
        <v>1</v>
      </c>
      <c r="F709">
        <v>1</v>
      </c>
      <c r="H709">
        <v>1</v>
      </c>
    </row>
    <row r="710" spans="1:9">
      <c r="A710">
        <v>272</v>
      </c>
      <c r="B710">
        <v>60</v>
      </c>
      <c r="C710">
        <v>1</v>
      </c>
      <c r="D710">
        <v>1</v>
      </c>
      <c r="G710">
        <v>2</v>
      </c>
    </row>
    <row r="711" spans="1:9">
      <c r="A711">
        <v>273</v>
      </c>
      <c r="B711">
        <v>60</v>
      </c>
      <c r="C711">
        <v>1</v>
      </c>
      <c r="D711">
        <v>1</v>
      </c>
      <c r="G711">
        <v>1</v>
      </c>
      <c r="I711">
        <v>1</v>
      </c>
    </row>
    <row r="712" spans="1:9">
      <c r="A712">
        <v>274</v>
      </c>
      <c r="B712">
        <v>60</v>
      </c>
      <c r="C712">
        <v>1</v>
      </c>
      <c r="F712">
        <v>1</v>
      </c>
      <c r="G712">
        <v>1</v>
      </c>
      <c r="H712">
        <v>1</v>
      </c>
    </row>
    <row r="713" spans="1:9">
      <c r="A713">
        <v>275</v>
      </c>
      <c r="B713">
        <v>60</v>
      </c>
      <c r="D713">
        <v>1</v>
      </c>
      <c r="E713">
        <v>1</v>
      </c>
      <c r="H713">
        <v>1</v>
      </c>
      <c r="I713">
        <v>1</v>
      </c>
    </row>
    <row r="714" spans="1:9">
      <c r="A714">
        <v>276</v>
      </c>
      <c r="B714">
        <v>60</v>
      </c>
      <c r="C714">
        <v>1</v>
      </c>
      <c r="E714">
        <v>1</v>
      </c>
      <c r="H714">
        <v>2</v>
      </c>
    </row>
    <row r="715" spans="1:9">
      <c r="A715">
        <v>277</v>
      </c>
      <c r="B715">
        <v>60</v>
      </c>
    </row>
    <row r="716" spans="1:9">
      <c r="A716">
        <v>278</v>
      </c>
      <c r="B716">
        <v>60</v>
      </c>
    </row>
    <row r="717" spans="1:9">
      <c r="A717">
        <v>279</v>
      </c>
      <c r="B717">
        <v>60</v>
      </c>
    </row>
    <row r="718" spans="1:9">
      <c r="A718">
        <v>280</v>
      </c>
      <c r="B718">
        <v>60</v>
      </c>
    </row>
    <row r="719" spans="1:9">
      <c r="A719">
        <v>281</v>
      </c>
      <c r="B719">
        <v>60</v>
      </c>
    </row>
    <row r="720" spans="1:9">
      <c r="A720">
        <v>282</v>
      </c>
      <c r="B720">
        <v>60</v>
      </c>
    </row>
    <row r="721" spans="1:8">
      <c r="A721">
        <v>283</v>
      </c>
      <c r="B721">
        <v>60</v>
      </c>
    </row>
    <row r="722" spans="1:8">
      <c r="A722">
        <v>239</v>
      </c>
      <c r="B722">
        <v>59</v>
      </c>
    </row>
    <row r="723" spans="1:8">
      <c r="A723">
        <v>240</v>
      </c>
      <c r="B723">
        <v>59</v>
      </c>
    </row>
    <row r="724" spans="1:8">
      <c r="A724">
        <v>241</v>
      </c>
      <c r="B724">
        <v>59</v>
      </c>
    </row>
    <row r="725" spans="1:8">
      <c r="A725">
        <v>242</v>
      </c>
      <c r="B725">
        <v>59</v>
      </c>
    </row>
    <row r="726" spans="1:8">
      <c r="A726">
        <v>243</v>
      </c>
      <c r="B726">
        <v>59</v>
      </c>
    </row>
    <row r="727" spans="1:8">
      <c r="A727">
        <v>244</v>
      </c>
      <c r="B727">
        <v>59</v>
      </c>
    </row>
    <row r="728" spans="1:8">
      <c r="A728">
        <v>245</v>
      </c>
      <c r="B728">
        <v>59</v>
      </c>
    </row>
    <row r="729" spans="1:8">
      <c r="A729">
        <v>246</v>
      </c>
      <c r="B729">
        <v>59</v>
      </c>
    </row>
    <row r="730" spans="1:8">
      <c r="A730">
        <v>247</v>
      </c>
      <c r="B730">
        <v>59</v>
      </c>
    </row>
    <row r="731" spans="1:8">
      <c r="A731">
        <v>248</v>
      </c>
      <c r="B731">
        <v>59</v>
      </c>
    </row>
    <row r="732" spans="1:8">
      <c r="A732">
        <v>249</v>
      </c>
      <c r="B732">
        <v>59</v>
      </c>
    </row>
    <row r="733" spans="1:8">
      <c r="A733">
        <v>250</v>
      </c>
      <c r="B733">
        <v>59</v>
      </c>
    </row>
    <row r="734" spans="1:8">
      <c r="A734">
        <v>251</v>
      </c>
      <c r="B734">
        <v>59</v>
      </c>
      <c r="D734">
        <v>1</v>
      </c>
      <c r="F734">
        <v>2</v>
      </c>
      <c r="G734">
        <v>1</v>
      </c>
    </row>
    <row r="735" spans="1:8">
      <c r="A735">
        <v>252</v>
      </c>
      <c r="B735">
        <v>59</v>
      </c>
      <c r="C735">
        <v>1</v>
      </c>
      <c r="E735">
        <v>1</v>
      </c>
      <c r="F735">
        <v>2</v>
      </c>
    </row>
    <row r="736" spans="1:8">
      <c r="A736">
        <v>253</v>
      </c>
      <c r="B736">
        <v>59</v>
      </c>
      <c r="C736">
        <v>1</v>
      </c>
      <c r="D736">
        <v>1</v>
      </c>
      <c r="H736">
        <v>2</v>
      </c>
    </row>
    <row r="737" spans="1:9">
      <c r="A737">
        <v>254</v>
      </c>
      <c r="B737">
        <v>59</v>
      </c>
      <c r="F737">
        <v>2</v>
      </c>
      <c r="H737">
        <v>1</v>
      </c>
      <c r="I737">
        <v>1</v>
      </c>
    </row>
    <row r="738" spans="1:9">
      <c r="A738">
        <v>255</v>
      </c>
      <c r="B738">
        <v>59</v>
      </c>
      <c r="C738">
        <v>1</v>
      </c>
      <c r="D738">
        <v>1</v>
      </c>
      <c r="E738">
        <v>1</v>
      </c>
      <c r="G738">
        <v>1</v>
      </c>
    </row>
    <row r="739" spans="1:9">
      <c r="A739">
        <v>256</v>
      </c>
      <c r="B739">
        <v>59</v>
      </c>
    </row>
    <row r="740" spans="1:9">
      <c r="A740">
        <v>257</v>
      </c>
      <c r="B740">
        <v>59</v>
      </c>
      <c r="D740">
        <v>1</v>
      </c>
      <c r="F740">
        <v>1</v>
      </c>
      <c r="H740">
        <v>1</v>
      </c>
      <c r="I740">
        <v>1</v>
      </c>
    </row>
    <row r="741" spans="1:9">
      <c r="A741">
        <v>258</v>
      </c>
      <c r="B741">
        <v>59</v>
      </c>
    </row>
    <row r="742" spans="1:9">
      <c r="A742">
        <v>259</v>
      </c>
      <c r="B742">
        <v>59</v>
      </c>
    </row>
    <row r="743" spans="1:9">
      <c r="A743">
        <v>260</v>
      </c>
      <c r="B743">
        <v>59</v>
      </c>
      <c r="C743">
        <v>1</v>
      </c>
      <c r="E743">
        <v>1</v>
      </c>
      <c r="F743">
        <v>1</v>
      </c>
      <c r="H743">
        <v>1</v>
      </c>
    </row>
    <row r="744" spans="1:9">
      <c r="A744">
        <v>261</v>
      </c>
      <c r="B744">
        <v>59</v>
      </c>
      <c r="C744">
        <v>1</v>
      </c>
      <c r="E744">
        <v>1</v>
      </c>
      <c r="F744">
        <v>1</v>
      </c>
      <c r="H744">
        <v>1</v>
      </c>
    </row>
    <row r="745" spans="1:9">
      <c r="A745">
        <v>262</v>
      </c>
      <c r="B745">
        <v>59</v>
      </c>
      <c r="C745">
        <v>1</v>
      </c>
      <c r="D745">
        <v>1</v>
      </c>
      <c r="H745">
        <v>1</v>
      </c>
      <c r="I745">
        <v>1</v>
      </c>
    </row>
    <row r="746" spans="1:9">
      <c r="A746">
        <v>263</v>
      </c>
      <c r="B746">
        <v>59</v>
      </c>
      <c r="E746">
        <v>1</v>
      </c>
      <c r="F746">
        <v>1</v>
      </c>
      <c r="H746">
        <v>1</v>
      </c>
      <c r="I746">
        <v>1</v>
      </c>
    </row>
    <row r="747" spans="1:9">
      <c r="A747">
        <v>264</v>
      </c>
      <c r="B747">
        <v>59</v>
      </c>
      <c r="C747">
        <v>1</v>
      </c>
      <c r="D747">
        <v>1</v>
      </c>
      <c r="E747">
        <v>1</v>
      </c>
      <c r="G747">
        <v>1</v>
      </c>
    </row>
    <row r="748" spans="1:9">
      <c r="A748">
        <v>265</v>
      </c>
      <c r="B748">
        <v>59</v>
      </c>
      <c r="G748">
        <v>1</v>
      </c>
      <c r="H748">
        <v>2</v>
      </c>
      <c r="I748">
        <v>1</v>
      </c>
    </row>
    <row r="749" spans="1:9">
      <c r="A749">
        <v>266</v>
      </c>
      <c r="B749">
        <v>59</v>
      </c>
      <c r="D749">
        <v>1</v>
      </c>
      <c r="G749">
        <v>2</v>
      </c>
      <c r="I749">
        <v>1</v>
      </c>
    </row>
    <row r="750" spans="1:9">
      <c r="A750">
        <v>267</v>
      </c>
      <c r="B750">
        <v>59</v>
      </c>
      <c r="C750">
        <v>1</v>
      </c>
      <c r="E750">
        <v>1</v>
      </c>
      <c r="G750">
        <v>1</v>
      </c>
      <c r="H750">
        <v>1</v>
      </c>
    </row>
    <row r="751" spans="1:9">
      <c r="A751">
        <v>268</v>
      </c>
      <c r="B751">
        <v>59</v>
      </c>
      <c r="E751">
        <v>2</v>
      </c>
      <c r="G751">
        <v>1</v>
      </c>
      <c r="H751">
        <v>1</v>
      </c>
    </row>
    <row r="752" spans="1:9">
      <c r="A752">
        <v>269</v>
      </c>
      <c r="B752">
        <v>59</v>
      </c>
      <c r="C752">
        <v>1</v>
      </c>
      <c r="E752">
        <v>1</v>
      </c>
      <c r="F752">
        <v>1</v>
      </c>
      <c r="I752">
        <v>1</v>
      </c>
    </row>
    <row r="753" spans="1:9">
      <c r="A753">
        <v>270</v>
      </c>
      <c r="B753">
        <v>59</v>
      </c>
      <c r="C753">
        <v>1</v>
      </c>
      <c r="D753">
        <v>1</v>
      </c>
      <c r="E753">
        <v>2</v>
      </c>
    </row>
    <row r="754" spans="1:9">
      <c r="A754">
        <v>271</v>
      </c>
      <c r="B754">
        <v>59</v>
      </c>
    </row>
    <row r="755" spans="1:9">
      <c r="A755">
        <v>272</v>
      </c>
      <c r="B755">
        <v>59</v>
      </c>
      <c r="E755">
        <v>2</v>
      </c>
      <c r="F755">
        <v>1</v>
      </c>
      <c r="H755">
        <v>1</v>
      </c>
    </row>
    <row r="756" spans="1:9">
      <c r="A756">
        <v>273</v>
      </c>
      <c r="B756">
        <v>59</v>
      </c>
      <c r="C756">
        <v>1</v>
      </c>
      <c r="E756">
        <v>1</v>
      </c>
      <c r="G756">
        <v>1</v>
      </c>
      <c r="I756">
        <v>1</v>
      </c>
    </row>
    <row r="757" spans="1:9">
      <c r="A757">
        <v>274</v>
      </c>
      <c r="B757">
        <v>59</v>
      </c>
      <c r="D757">
        <v>1</v>
      </c>
      <c r="E757">
        <v>2</v>
      </c>
      <c r="G757">
        <v>1</v>
      </c>
    </row>
    <row r="758" spans="1:9">
      <c r="A758">
        <v>275</v>
      </c>
      <c r="B758">
        <v>59</v>
      </c>
    </row>
    <row r="759" spans="1:9">
      <c r="A759">
        <v>276</v>
      </c>
      <c r="B759">
        <v>59</v>
      </c>
    </row>
    <row r="760" spans="1:9">
      <c r="A760">
        <v>277</v>
      </c>
      <c r="B760">
        <v>59</v>
      </c>
    </row>
    <row r="761" spans="1:9">
      <c r="A761">
        <v>278</v>
      </c>
      <c r="B761">
        <v>59</v>
      </c>
    </row>
    <row r="762" spans="1:9">
      <c r="A762">
        <v>279</v>
      </c>
      <c r="B762">
        <v>59</v>
      </c>
    </row>
    <row r="763" spans="1:9">
      <c r="A763">
        <v>280</v>
      </c>
      <c r="B763">
        <v>59</v>
      </c>
    </row>
    <row r="764" spans="1:9">
      <c r="A764">
        <v>281</v>
      </c>
      <c r="B764">
        <v>59</v>
      </c>
    </row>
    <row r="765" spans="1:9">
      <c r="A765">
        <v>282</v>
      </c>
      <c r="B765">
        <v>59</v>
      </c>
    </row>
    <row r="766" spans="1:9">
      <c r="A766">
        <v>283</v>
      </c>
      <c r="B766">
        <v>59</v>
      </c>
    </row>
    <row r="767" spans="1:9">
      <c r="A767">
        <v>239</v>
      </c>
      <c r="B767">
        <v>58</v>
      </c>
    </row>
    <row r="768" spans="1:9">
      <c r="A768">
        <v>240</v>
      </c>
      <c r="B768">
        <v>58</v>
      </c>
    </row>
    <row r="769" spans="1:9">
      <c r="A769">
        <v>241</v>
      </c>
      <c r="B769">
        <v>58</v>
      </c>
    </row>
    <row r="770" spans="1:9">
      <c r="A770">
        <v>242</v>
      </c>
      <c r="B770">
        <v>58</v>
      </c>
    </row>
    <row r="771" spans="1:9">
      <c r="A771">
        <v>243</v>
      </c>
      <c r="B771">
        <v>58</v>
      </c>
    </row>
    <row r="772" spans="1:9">
      <c r="A772">
        <v>244</v>
      </c>
      <c r="B772">
        <v>58</v>
      </c>
    </row>
    <row r="773" spans="1:9">
      <c r="A773">
        <v>245</v>
      </c>
      <c r="B773">
        <v>58</v>
      </c>
    </row>
    <row r="774" spans="1:9">
      <c r="A774">
        <v>246</v>
      </c>
      <c r="B774">
        <v>58</v>
      </c>
    </row>
    <row r="775" spans="1:9">
      <c r="A775">
        <v>247</v>
      </c>
      <c r="B775">
        <v>58</v>
      </c>
    </row>
    <row r="776" spans="1:9">
      <c r="A776">
        <v>248</v>
      </c>
      <c r="B776">
        <v>58</v>
      </c>
    </row>
    <row r="777" spans="1:9">
      <c r="A777">
        <v>249</v>
      </c>
      <c r="B777">
        <v>58</v>
      </c>
    </row>
    <row r="778" spans="1:9">
      <c r="A778">
        <v>250</v>
      </c>
      <c r="B778">
        <v>58</v>
      </c>
    </row>
    <row r="779" spans="1:9">
      <c r="A779">
        <v>251</v>
      </c>
      <c r="B779">
        <v>58</v>
      </c>
    </row>
    <row r="780" spans="1:9">
      <c r="A780">
        <v>252</v>
      </c>
      <c r="B780">
        <v>58</v>
      </c>
    </row>
    <row r="781" spans="1:9">
      <c r="A781">
        <v>253</v>
      </c>
      <c r="B781">
        <v>58</v>
      </c>
      <c r="C781">
        <v>1</v>
      </c>
      <c r="E781">
        <v>1</v>
      </c>
      <c r="I781">
        <v>2</v>
      </c>
    </row>
    <row r="782" spans="1:9">
      <c r="A782">
        <v>254</v>
      </c>
      <c r="B782">
        <v>58</v>
      </c>
      <c r="C782">
        <v>1</v>
      </c>
      <c r="F782">
        <v>1</v>
      </c>
      <c r="G782">
        <v>1</v>
      </c>
      <c r="I782">
        <v>1</v>
      </c>
    </row>
    <row r="783" spans="1:9">
      <c r="A783">
        <v>255</v>
      </c>
      <c r="B783">
        <v>58</v>
      </c>
      <c r="D783">
        <v>1</v>
      </c>
      <c r="E783">
        <v>1</v>
      </c>
      <c r="H783">
        <v>1</v>
      </c>
      <c r="I783">
        <v>1</v>
      </c>
    </row>
    <row r="784" spans="1:9">
      <c r="A784">
        <v>256</v>
      </c>
      <c r="B784">
        <v>58</v>
      </c>
      <c r="D784">
        <v>1</v>
      </c>
      <c r="F784">
        <v>1</v>
      </c>
      <c r="H784">
        <v>1</v>
      </c>
      <c r="I784">
        <v>1</v>
      </c>
    </row>
    <row r="785" spans="1:9">
      <c r="A785">
        <v>257</v>
      </c>
      <c r="B785">
        <v>58</v>
      </c>
      <c r="D785">
        <v>1</v>
      </c>
      <c r="F785">
        <v>1</v>
      </c>
      <c r="H785">
        <v>1</v>
      </c>
      <c r="I785">
        <v>1</v>
      </c>
    </row>
    <row r="786" spans="1:9">
      <c r="A786">
        <v>258</v>
      </c>
      <c r="B786">
        <v>58</v>
      </c>
      <c r="E786">
        <v>1</v>
      </c>
      <c r="H786">
        <v>2</v>
      </c>
      <c r="I786">
        <v>1</v>
      </c>
    </row>
    <row r="787" spans="1:9">
      <c r="A787">
        <v>259</v>
      </c>
      <c r="B787">
        <v>58</v>
      </c>
      <c r="E787">
        <v>1</v>
      </c>
      <c r="F787">
        <v>1</v>
      </c>
      <c r="G787">
        <v>1</v>
      </c>
      <c r="H787">
        <v>1</v>
      </c>
    </row>
    <row r="788" spans="1:9">
      <c r="A788">
        <v>260</v>
      </c>
      <c r="B788">
        <v>58</v>
      </c>
      <c r="D788">
        <v>1</v>
      </c>
      <c r="E788">
        <v>1</v>
      </c>
      <c r="F788">
        <v>1</v>
      </c>
      <c r="G788">
        <v>1</v>
      </c>
    </row>
    <row r="789" spans="1:9">
      <c r="A789">
        <v>261</v>
      </c>
      <c r="B789">
        <v>58</v>
      </c>
      <c r="E789">
        <v>1</v>
      </c>
      <c r="G789">
        <v>1</v>
      </c>
      <c r="H789">
        <v>2</v>
      </c>
    </row>
    <row r="790" spans="1:9">
      <c r="A790">
        <v>262</v>
      </c>
      <c r="B790">
        <v>58</v>
      </c>
    </row>
    <row r="791" spans="1:9">
      <c r="A791">
        <v>263</v>
      </c>
      <c r="B791">
        <v>58</v>
      </c>
      <c r="E791">
        <v>1</v>
      </c>
      <c r="F791">
        <v>1</v>
      </c>
      <c r="G791">
        <v>1</v>
      </c>
      <c r="H791">
        <v>1</v>
      </c>
    </row>
    <row r="792" spans="1:9">
      <c r="A792">
        <v>264</v>
      </c>
      <c r="B792">
        <v>58</v>
      </c>
    </row>
    <row r="793" spans="1:9">
      <c r="A793">
        <v>265</v>
      </c>
      <c r="B793">
        <v>58</v>
      </c>
    </row>
    <row r="794" spans="1:9">
      <c r="A794">
        <v>266</v>
      </c>
      <c r="B794">
        <v>58</v>
      </c>
      <c r="C794">
        <v>1</v>
      </c>
      <c r="E794">
        <v>1</v>
      </c>
      <c r="F794">
        <v>1</v>
      </c>
      <c r="I794">
        <v>1</v>
      </c>
    </row>
    <row r="795" spans="1:9">
      <c r="A795">
        <v>267</v>
      </c>
      <c r="B795">
        <v>58</v>
      </c>
      <c r="C795">
        <v>1</v>
      </c>
      <c r="D795">
        <v>1</v>
      </c>
      <c r="H795">
        <v>1</v>
      </c>
      <c r="I795">
        <v>1</v>
      </c>
    </row>
    <row r="796" spans="1:9">
      <c r="A796">
        <v>268</v>
      </c>
      <c r="B796">
        <v>58</v>
      </c>
      <c r="C796">
        <v>1</v>
      </c>
      <c r="D796">
        <v>1</v>
      </c>
      <c r="E796">
        <v>1</v>
      </c>
      <c r="I796">
        <v>1</v>
      </c>
    </row>
    <row r="797" spans="1:9">
      <c r="A797">
        <v>269</v>
      </c>
      <c r="B797">
        <v>58</v>
      </c>
      <c r="C797">
        <v>1</v>
      </c>
      <c r="E797">
        <v>1</v>
      </c>
      <c r="H797">
        <v>1</v>
      </c>
      <c r="I797">
        <v>1</v>
      </c>
    </row>
    <row r="798" spans="1:9">
      <c r="A798">
        <v>270</v>
      </c>
      <c r="B798">
        <v>58</v>
      </c>
      <c r="C798">
        <v>1</v>
      </c>
      <c r="D798">
        <v>1</v>
      </c>
      <c r="H798">
        <v>1</v>
      </c>
      <c r="I798">
        <v>1</v>
      </c>
    </row>
    <row r="799" spans="1:9">
      <c r="A799">
        <v>271</v>
      </c>
      <c r="B799">
        <v>58</v>
      </c>
      <c r="E799">
        <v>1</v>
      </c>
      <c r="F799">
        <v>1</v>
      </c>
      <c r="G799">
        <v>1</v>
      </c>
      <c r="I799">
        <v>1</v>
      </c>
    </row>
    <row r="800" spans="1:9">
      <c r="A800">
        <v>272</v>
      </c>
      <c r="B800">
        <v>58</v>
      </c>
    </row>
    <row r="801" spans="1:9">
      <c r="A801">
        <v>273</v>
      </c>
      <c r="B801">
        <v>58</v>
      </c>
      <c r="C801">
        <v>1</v>
      </c>
      <c r="E801">
        <v>1</v>
      </c>
      <c r="G801">
        <v>1</v>
      </c>
      <c r="I801">
        <v>1</v>
      </c>
    </row>
    <row r="802" spans="1:9">
      <c r="A802">
        <v>274</v>
      </c>
      <c r="B802">
        <v>58</v>
      </c>
      <c r="D802">
        <v>1</v>
      </c>
      <c r="G802">
        <v>2</v>
      </c>
      <c r="I802">
        <v>1</v>
      </c>
    </row>
    <row r="803" spans="1:9">
      <c r="A803">
        <v>275</v>
      </c>
      <c r="B803">
        <v>58</v>
      </c>
    </row>
    <row r="804" spans="1:9">
      <c r="A804">
        <v>276</v>
      </c>
      <c r="B804">
        <v>58</v>
      </c>
    </row>
    <row r="805" spans="1:9">
      <c r="A805">
        <v>277</v>
      </c>
      <c r="B805">
        <v>58</v>
      </c>
    </row>
    <row r="806" spans="1:9">
      <c r="A806">
        <v>278</v>
      </c>
      <c r="B806">
        <v>58</v>
      </c>
    </row>
    <row r="807" spans="1:9">
      <c r="A807">
        <v>279</v>
      </c>
      <c r="B807">
        <v>58</v>
      </c>
    </row>
    <row r="808" spans="1:9">
      <c r="A808">
        <v>280</v>
      </c>
      <c r="B808">
        <v>58</v>
      </c>
    </row>
    <row r="809" spans="1:9">
      <c r="A809">
        <v>281</v>
      </c>
      <c r="B809">
        <v>58</v>
      </c>
    </row>
    <row r="810" spans="1:9">
      <c r="A810">
        <v>282</v>
      </c>
      <c r="B810">
        <v>58</v>
      </c>
    </row>
    <row r="811" spans="1:9">
      <c r="A811">
        <v>283</v>
      </c>
      <c r="B811">
        <v>58</v>
      </c>
    </row>
    <row r="812" spans="1:9">
      <c r="A812">
        <v>239</v>
      </c>
      <c r="B812">
        <v>57</v>
      </c>
    </row>
    <row r="813" spans="1:9">
      <c r="A813">
        <v>240</v>
      </c>
      <c r="B813">
        <v>57</v>
      </c>
    </row>
    <row r="814" spans="1:9">
      <c r="A814">
        <v>241</v>
      </c>
      <c r="B814">
        <v>57</v>
      </c>
    </row>
    <row r="815" spans="1:9">
      <c r="A815">
        <v>242</v>
      </c>
      <c r="B815">
        <v>57</v>
      </c>
    </row>
    <row r="816" spans="1:9">
      <c r="A816">
        <v>243</v>
      </c>
      <c r="B816">
        <v>57</v>
      </c>
    </row>
    <row r="817" spans="1:9">
      <c r="A817">
        <v>244</v>
      </c>
      <c r="B817">
        <v>57</v>
      </c>
    </row>
    <row r="818" spans="1:9">
      <c r="A818">
        <v>245</v>
      </c>
      <c r="B818">
        <v>57</v>
      </c>
    </row>
    <row r="819" spans="1:9">
      <c r="A819">
        <v>246</v>
      </c>
      <c r="B819">
        <v>57</v>
      </c>
    </row>
    <row r="820" spans="1:9">
      <c r="A820">
        <v>247</v>
      </c>
      <c r="B820">
        <v>57</v>
      </c>
    </row>
    <row r="821" spans="1:9">
      <c r="A821">
        <v>248</v>
      </c>
      <c r="B821">
        <v>57</v>
      </c>
    </row>
    <row r="822" spans="1:9">
      <c r="A822">
        <v>249</v>
      </c>
      <c r="B822">
        <v>57</v>
      </c>
    </row>
    <row r="823" spans="1:9">
      <c r="A823">
        <v>250</v>
      </c>
      <c r="B823">
        <v>57</v>
      </c>
    </row>
    <row r="824" spans="1:9">
      <c r="A824">
        <v>251</v>
      </c>
      <c r="B824">
        <v>57</v>
      </c>
    </row>
    <row r="825" spans="1:9">
      <c r="A825">
        <v>252</v>
      </c>
      <c r="B825">
        <v>57</v>
      </c>
    </row>
    <row r="826" spans="1:9">
      <c r="A826">
        <v>253</v>
      </c>
      <c r="B826">
        <v>57</v>
      </c>
    </row>
    <row r="827" spans="1:9">
      <c r="A827">
        <v>254</v>
      </c>
      <c r="B827">
        <v>57</v>
      </c>
    </row>
    <row r="828" spans="1:9">
      <c r="A828">
        <v>255</v>
      </c>
      <c r="B828">
        <v>57</v>
      </c>
      <c r="C828">
        <v>1</v>
      </c>
      <c r="E828">
        <v>1</v>
      </c>
      <c r="F828">
        <v>1</v>
      </c>
      <c r="G828">
        <v>1</v>
      </c>
    </row>
    <row r="829" spans="1:9">
      <c r="A829">
        <v>256</v>
      </c>
      <c r="B829">
        <v>57</v>
      </c>
      <c r="C829">
        <v>1</v>
      </c>
      <c r="D829">
        <v>1</v>
      </c>
      <c r="F829">
        <v>1</v>
      </c>
      <c r="I829">
        <v>1</v>
      </c>
    </row>
    <row r="830" spans="1:9">
      <c r="A830">
        <v>257</v>
      </c>
      <c r="B830">
        <v>57</v>
      </c>
      <c r="E830">
        <v>1</v>
      </c>
      <c r="F830">
        <v>1</v>
      </c>
      <c r="G830">
        <v>1</v>
      </c>
      <c r="H830">
        <v>1</v>
      </c>
    </row>
    <row r="831" spans="1:9">
      <c r="A831">
        <v>258</v>
      </c>
      <c r="B831">
        <v>57</v>
      </c>
    </row>
    <row r="832" spans="1:9">
      <c r="A832">
        <v>259</v>
      </c>
      <c r="B832">
        <v>57</v>
      </c>
    </row>
    <row r="833" spans="1:9">
      <c r="A833">
        <v>260</v>
      </c>
      <c r="B833">
        <v>57</v>
      </c>
    </row>
    <row r="834" spans="1:9">
      <c r="A834">
        <v>261</v>
      </c>
      <c r="B834">
        <v>57</v>
      </c>
      <c r="C834">
        <v>1</v>
      </c>
      <c r="D834">
        <v>1</v>
      </c>
      <c r="G834">
        <v>1</v>
      </c>
      <c r="H834">
        <v>1</v>
      </c>
    </row>
    <row r="835" spans="1:9">
      <c r="A835">
        <v>262</v>
      </c>
      <c r="B835">
        <v>57</v>
      </c>
      <c r="E835">
        <v>1</v>
      </c>
      <c r="F835">
        <v>1</v>
      </c>
      <c r="H835">
        <v>2</v>
      </c>
    </row>
    <row r="836" spans="1:9">
      <c r="A836">
        <v>263</v>
      </c>
      <c r="B836">
        <v>57</v>
      </c>
      <c r="D836">
        <v>1</v>
      </c>
      <c r="E836">
        <v>1</v>
      </c>
      <c r="F836">
        <v>2</v>
      </c>
    </row>
    <row r="837" spans="1:9">
      <c r="A837">
        <v>264</v>
      </c>
      <c r="B837">
        <v>57</v>
      </c>
      <c r="C837">
        <v>1</v>
      </c>
      <c r="D837">
        <v>1</v>
      </c>
      <c r="F837">
        <v>1</v>
      </c>
      <c r="H837">
        <v>1</v>
      </c>
    </row>
    <row r="838" spans="1:9">
      <c r="A838">
        <v>265</v>
      </c>
      <c r="B838">
        <v>57</v>
      </c>
      <c r="C838">
        <v>1</v>
      </c>
      <c r="D838">
        <v>1</v>
      </c>
      <c r="E838">
        <v>1</v>
      </c>
      <c r="H838">
        <v>1</v>
      </c>
    </row>
    <row r="839" spans="1:9">
      <c r="A839">
        <v>266</v>
      </c>
      <c r="B839">
        <v>57</v>
      </c>
    </row>
    <row r="840" spans="1:9">
      <c r="A840">
        <v>267</v>
      </c>
      <c r="B840">
        <v>57</v>
      </c>
    </row>
    <row r="841" spans="1:9">
      <c r="A841">
        <v>268</v>
      </c>
      <c r="B841">
        <v>57</v>
      </c>
      <c r="D841">
        <v>1</v>
      </c>
      <c r="E841">
        <v>1</v>
      </c>
      <c r="I841">
        <v>2</v>
      </c>
    </row>
    <row r="842" spans="1:9">
      <c r="A842">
        <v>269</v>
      </c>
      <c r="B842">
        <v>57</v>
      </c>
      <c r="E842">
        <v>1</v>
      </c>
      <c r="F842">
        <v>1</v>
      </c>
      <c r="G842">
        <v>1</v>
      </c>
      <c r="I842">
        <v>1</v>
      </c>
    </row>
    <row r="843" spans="1:9">
      <c r="A843">
        <v>270</v>
      </c>
      <c r="B843">
        <v>57</v>
      </c>
    </row>
    <row r="844" spans="1:9">
      <c r="A844">
        <v>271</v>
      </c>
      <c r="B844">
        <v>57</v>
      </c>
      <c r="C844">
        <v>1</v>
      </c>
      <c r="D844">
        <v>1</v>
      </c>
      <c r="G844">
        <v>1</v>
      </c>
      <c r="I844">
        <v>1</v>
      </c>
    </row>
    <row r="845" spans="1:9">
      <c r="A845">
        <v>272</v>
      </c>
      <c r="B845">
        <v>57</v>
      </c>
      <c r="C845">
        <v>1</v>
      </c>
      <c r="D845">
        <v>2</v>
      </c>
      <c r="E845">
        <v>1</v>
      </c>
    </row>
    <row r="846" spans="1:9">
      <c r="A846">
        <v>273</v>
      </c>
      <c r="B846">
        <v>57</v>
      </c>
      <c r="D846">
        <v>2</v>
      </c>
      <c r="E846">
        <v>1</v>
      </c>
      <c r="H846">
        <v>1</v>
      </c>
    </row>
    <row r="847" spans="1:9">
      <c r="A847">
        <v>274</v>
      </c>
      <c r="B847">
        <v>57</v>
      </c>
    </row>
    <row r="848" spans="1:9">
      <c r="A848">
        <v>275</v>
      </c>
      <c r="B848">
        <v>57</v>
      </c>
    </row>
    <row r="849" spans="1:2">
      <c r="A849">
        <v>276</v>
      </c>
      <c r="B849">
        <v>57</v>
      </c>
    </row>
    <row r="850" spans="1:2">
      <c r="A850">
        <v>277</v>
      </c>
      <c r="B850">
        <v>57</v>
      </c>
    </row>
    <row r="851" spans="1:2">
      <c r="A851">
        <v>278</v>
      </c>
      <c r="B851">
        <v>57</v>
      </c>
    </row>
    <row r="852" spans="1:2">
      <c r="A852">
        <v>279</v>
      </c>
      <c r="B852">
        <v>57</v>
      </c>
    </row>
    <row r="853" spans="1:2">
      <c r="A853">
        <v>280</v>
      </c>
      <c r="B853">
        <v>57</v>
      </c>
    </row>
    <row r="854" spans="1:2">
      <c r="A854">
        <v>281</v>
      </c>
      <c r="B854">
        <v>57</v>
      </c>
    </row>
    <row r="855" spans="1:2">
      <c r="A855">
        <v>282</v>
      </c>
      <c r="B855">
        <v>57</v>
      </c>
    </row>
    <row r="856" spans="1:2">
      <c r="A856">
        <v>283</v>
      </c>
      <c r="B856">
        <v>57</v>
      </c>
    </row>
    <row r="857" spans="1:2">
      <c r="A857">
        <v>239</v>
      </c>
      <c r="B857">
        <v>56</v>
      </c>
    </row>
    <row r="858" spans="1:2">
      <c r="A858">
        <v>240</v>
      </c>
      <c r="B858">
        <v>56</v>
      </c>
    </row>
    <row r="859" spans="1:2">
      <c r="A859">
        <v>241</v>
      </c>
      <c r="B859">
        <v>56</v>
      </c>
    </row>
    <row r="860" spans="1:2">
      <c r="A860">
        <v>242</v>
      </c>
      <c r="B860">
        <v>56</v>
      </c>
    </row>
    <row r="861" spans="1:2">
      <c r="A861">
        <v>243</v>
      </c>
      <c r="B861">
        <v>56</v>
      </c>
    </row>
    <row r="862" spans="1:2">
      <c r="A862">
        <v>244</v>
      </c>
      <c r="B862">
        <v>56</v>
      </c>
    </row>
    <row r="863" spans="1:2">
      <c r="A863">
        <v>245</v>
      </c>
      <c r="B863">
        <v>56</v>
      </c>
    </row>
    <row r="864" spans="1:2">
      <c r="A864">
        <v>246</v>
      </c>
      <c r="B864">
        <v>56</v>
      </c>
    </row>
    <row r="865" spans="1:9">
      <c r="A865">
        <v>247</v>
      </c>
      <c r="B865">
        <v>56</v>
      </c>
    </row>
    <row r="866" spans="1:9">
      <c r="A866">
        <v>248</v>
      </c>
      <c r="B866">
        <v>56</v>
      </c>
    </row>
    <row r="867" spans="1:9">
      <c r="A867">
        <v>249</v>
      </c>
      <c r="B867">
        <v>56</v>
      </c>
    </row>
    <row r="868" spans="1:9">
      <c r="A868">
        <v>250</v>
      </c>
      <c r="B868">
        <v>56</v>
      </c>
    </row>
    <row r="869" spans="1:9">
      <c r="A869">
        <v>251</v>
      </c>
      <c r="B869">
        <v>56</v>
      </c>
    </row>
    <row r="870" spans="1:9">
      <c r="A870">
        <v>252</v>
      </c>
      <c r="B870">
        <v>56</v>
      </c>
    </row>
    <row r="871" spans="1:9">
      <c r="A871">
        <v>253</v>
      </c>
      <c r="B871">
        <v>56</v>
      </c>
    </row>
    <row r="872" spans="1:9">
      <c r="A872">
        <v>254</v>
      </c>
      <c r="B872">
        <v>56</v>
      </c>
    </row>
    <row r="873" spans="1:9">
      <c r="A873">
        <v>255</v>
      </c>
      <c r="B873">
        <v>56</v>
      </c>
    </row>
    <row r="874" spans="1:9">
      <c r="A874">
        <v>256</v>
      </c>
      <c r="B874">
        <v>56</v>
      </c>
    </row>
    <row r="875" spans="1:9">
      <c r="A875">
        <v>257</v>
      </c>
      <c r="B875">
        <v>56</v>
      </c>
      <c r="E875">
        <v>1</v>
      </c>
      <c r="F875">
        <v>1</v>
      </c>
      <c r="G875">
        <v>1</v>
      </c>
      <c r="H875">
        <v>1</v>
      </c>
    </row>
    <row r="876" spans="1:9">
      <c r="A876">
        <v>258</v>
      </c>
      <c r="B876">
        <v>56</v>
      </c>
      <c r="C876">
        <v>1</v>
      </c>
      <c r="D876">
        <v>1</v>
      </c>
      <c r="E876">
        <v>1</v>
      </c>
      <c r="I876">
        <v>1</v>
      </c>
    </row>
    <row r="877" spans="1:9">
      <c r="A877">
        <v>259</v>
      </c>
      <c r="B877">
        <v>56</v>
      </c>
    </row>
    <row r="878" spans="1:9">
      <c r="A878">
        <v>260</v>
      </c>
      <c r="B878">
        <v>56</v>
      </c>
    </row>
    <row r="879" spans="1:9">
      <c r="A879">
        <v>261</v>
      </c>
      <c r="B879">
        <v>56</v>
      </c>
    </row>
    <row r="880" spans="1:9">
      <c r="A880">
        <v>262</v>
      </c>
      <c r="B880">
        <v>56</v>
      </c>
      <c r="C880">
        <v>1</v>
      </c>
      <c r="D880">
        <v>1</v>
      </c>
      <c r="I880">
        <v>2</v>
      </c>
    </row>
    <row r="881" spans="1:9">
      <c r="A881">
        <v>263</v>
      </c>
      <c r="B881">
        <v>56</v>
      </c>
      <c r="C881">
        <v>1</v>
      </c>
      <c r="D881">
        <v>1</v>
      </c>
      <c r="F881">
        <v>1</v>
      </c>
      <c r="H881">
        <v>1</v>
      </c>
    </row>
    <row r="882" spans="1:9">
      <c r="A882">
        <v>264</v>
      </c>
      <c r="B882">
        <v>56</v>
      </c>
      <c r="C882">
        <v>1</v>
      </c>
      <c r="D882">
        <v>2</v>
      </c>
      <c r="F882">
        <v>1</v>
      </c>
    </row>
    <row r="883" spans="1:9">
      <c r="A883">
        <v>265</v>
      </c>
      <c r="B883">
        <v>56</v>
      </c>
      <c r="D883">
        <v>1</v>
      </c>
      <c r="G883">
        <v>2</v>
      </c>
      <c r="H883">
        <v>1</v>
      </c>
    </row>
    <row r="884" spans="1:9">
      <c r="A884">
        <v>266</v>
      </c>
      <c r="B884">
        <v>56</v>
      </c>
      <c r="E884">
        <v>1</v>
      </c>
      <c r="G884">
        <v>1</v>
      </c>
      <c r="H884">
        <v>1</v>
      </c>
      <c r="I884">
        <v>1</v>
      </c>
    </row>
    <row r="885" spans="1:9">
      <c r="A885">
        <v>267</v>
      </c>
      <c r="B885">
        <v>56</v>
      </c>
      <c r="C885">
        <v>1</v>
      </c>
      <c r="H885">
        <v>2</v>
      </c>
      <c r="I885">
        <v>1</v>
      </c>
    </row>
    <row r="886" spans="1:9">
      <c r="A886">
        <v>268</v>
      </c>
      <c r="B886">
        <v>56</v>
      </c>
      <c r="C886">
        <v>1</v>
      </c>
      <c r="D886">
        <v>1</v>
      </c>
      <c r="F886">
        <v>1</v>
      </c>
      <c r="H886">
        <v>1</v>
      </c>
    </row>
    <row r="887" spans="1:9">
      <c r="A887">
        <v>269</v>
      </c>
      <c r="B887">
        <v>56</v>
      </c>
    </row>
    <row r="888" spans="1:9">
      <c r="A888">
        <v>270</v>
      </c>
      <c r="B888">
        <v>56</v>
      </c>
    </row>
    <row r="889" spans="1:9">
      <c r="A889">
        <v>271</v>
      </c>
      <c r="B889">
        <v>56</v>
      </c>
      <c r="F889">
        <v>2</v>
      </c>
      <c r="G889">
        <v>1</v>
      </c>
      <c r="H889">
        <v>1</v>
      </c>
    </row>
    <row r="890" spans="1:9">
      <c r="A890">
        <v>272</v>
      </c>
      <c r="B890">
        <v>56</v>
      </c>
      <c r="D890">
        <v>1</v>
      </c>
      <c r="F890">
        <v>1</v>
      </c>
      <c r="G890">
        <v>1</v>
      </c>
      <c r="H890">
        <v>1</v>
      </c>
    </row>
    <row r="891" spans="1:9">
      <c r="A891">
        <v>273</v>
      </c>
      <c r="B891">
        <v>56</v>
      </c>
      <c r="C891">
        <v>1</v>
      </c>
      <c r="E891">
        <v>1</v>
      </c>
      <c r="G891">
        <v>1</v>
      </c>
      <c r="I891">
        <v>1</v>
      </c>
    </row>
    <row r="892" spans="1:9">
      <c r="A892">
        <v>274</v>
      </c>
      <c r="B892">
        <v>56</v>
      </c>
    </row>
    <row r="893" spans="1:9">
      <c r="A893">
        <v>275</v>
      </c>
      <c r="B893">
        <v>56</v>
      </c>
    </row>
    <row r="894" spans="1:9">
      <c r="A894">
        <v>276</v>
      </c>
      <c r="B894">
        <v>56</v>
      </c>
    </row>
    <row r="895" spans="1:9">
      <c r="A895">
        <v>277</v>
      </c>
      <c r="B895">
        <v>56</v>
      </c>
    </row>
    <row r="896" spans="1:9">
      <c r="A896">
        <v>278</v>
      </c>
      <c r="B896">
        <v>56</v>
      </c>
    </row>
    <row r="897" spans="1:2">
      <c r="A897">
        <v>279</v>
      </c>
      <c r="B897">
        <v>56</v>
      </c>
    </row>
    <row r="898" spans="1:2">
      <c r="A898">
        <v>280</v>
      </c>
      <c r="B898">
        <v>56</v>
      </c>
    </row>
    <row r="899" spans="1:2">
      <c r="A899">
        <v>281</v>
      </c>
      <c r="B899">
        <v>56</v>
      </c>
    </row>
    <row r="900" spans="1:2">
      <c r="A900">
        <v>282</v>
      </c>
      <c r="B900">
        <v>56</v>
      </c>
    </row>
    <row r="901" spans="1:2">
      <c r="A901">
        <v>283</v>
      </c>
      <c r="B901">
        <v>56</v>
      </c>
    </row>
    <row r="902" spans="1:2">
      <c r="A902">
        <v>239</v>
      </c>
      <c r="B902">
        <v>55</v>
      </c>
    </row>
    <row r="903" spans="1:2">
      <c r="A903">
        <v>240</v>
      </c>
      <c r="B903">
        <v>55</v>
      </c>
    </row>
    <row r="904" spans="1:2">
      <c r="A904">
        <v>241</v>
      </c>
      <c r="B904">
        <v>55</v>
      </c>
    </row>
    <row r="905" spans="1:2">
      <c r="A905">
        <v>242</v>
      </c>
      <c r="B905">
        <v>55</v>
      </c>
    </row>
    <row r="906" spans="1:2">
      <c r="A906">
        <v>243</v>
      </c>
      <c r="B906">
        <v>55</v>
      </c>
    </row>
    <row r="907" spans="1:2">
      <c r="A907">
        <v>244</v>
      </c>
      <c r="B907">
        <v>55</v>
      </c>
    </row>
    <row r="908" spans="1:2">
      <c r="A908">
        <v>245</v>
      </c>
      <c r="B908">
        <v>55</v>
      </c>
    </row>
    <row r="909" spans="1:2">
      <c r="A909">
        <v>246</v>
      </c>
      <c r="B909">
        <v>55</v>
      </c>
    </row>
    <row r="910" spans="1:2">
      <c r="A910">
        <v>247</v>
      </c>
      <c r="B910">
        <v>55</v>
      </c>
    </row>
    <row r="911" spans="1:2">
      <c r="A911">
        <v>248</v>
      </c>
      <c r="B911">
        <v>55</v>
      </c>
    </row>
    <row r="912" spans="1:2">
      <c r="A912">
        <v>249</v>
      </c>
      <c r="B912">
        <v>55</v>
      </c>
    </row>
    <row r="913" spans="1:9">
      <c r="A913">
        <v>250</v>
      </c>
      <c r="B913">
        <v>55</v>
      </c>
    </row>
    <row r="914" spans="1:9">
      <c r="A914">
        <v>251</v>
      </c>
      <c r="B914">
        <v>55</v>
      </c>
    </row>
    <row r="915" spans="1:9">
      <c r="A915">
        <v>252</v>
      </c>
      <c r="B915">
        <v>55</v>
      </c>
    </row>
    <row r="916" spans="1:9">
      <c r="A916">
        <v>253</v>
      </c>
      <c r="B916">
        <v>55</v>
      </c>
    </row>
    <row r="917" spans="1:9">
      <c r="A917">
        <v>254</v>
      </c>
      <c r="B917">
        <v>55</v>
      </c>
    </row>
    <row r="918" spans="1:9">
      <c r="A918">
        <v>255</v>
      </c>
      <c r="B918">
        <v>55</v>
      </c>
      <c r="F918">
        <v>1</v>
      </c>
      <c r="G918">
        <v>2</v>
      </c>
      <c r="I918">
        <v>1</v>
      </c>
    </row>
    <row r="919" spans="1:9">
      <c r="A919">
        <v>256</v>
      </c>
      <c r="B919">
        <v>55</v>
      </c>
      <c r="E919">
        <v>1</v>
      </c>
      <c r="F919">
        <v>1</v>
      </c>
      <c r="I919">
        <v>2</v>
      </c>
    </row>
    <row r="920" spans="1:9">
      <c r="A920">
        <v>257</v>
      </c>
      <c r="B920">
        <v>55</v>
      </c>
      <c r="F920">
        <v>1</v>
      </c>
      <c r="G920">
        <v>1</v>
      </c>
      <c r="I920">
        <v>2</v>
      </c>
    </row>
    <row r="921" spans="1:9">
      <c r="A921">
        <v>258</v>
      </c>
      <c r="B921">
        <v>55</v>
      </c>
      <c r="D921">
        <v>1</v>
      </c>
      <c r="H921">
        <v>1</v>
      </c>
      <c r="I921">
        <v>2</v>
      </c>
    </row>
    <row r="922" spans="1:9">
      <c r="A922">
        <v>259</v>
      </c>
      <c r="B922">
        <v>55</v>
      </c>
      <c r="C922">
        <v>1</v>
      </c>
      <c r="D922">
        <v>1</v>
      </c>
      <c r="E922">
        <v>1</v>
      </c>
      <c r="G922">
        <v>1</v>
      </c>
    </row>
    <row r="923" spans="1:9">
      <c r="A923">
        <v>260</v>
      </c>
      <c r="B923">
        <v>55</v>
      </c>
    </row>
    <row r="924" spans="1:9">
      <c r="A924">
        <v>261</v>
      </c>
      <c r="B924">
        <v>55</v>
      </c>
    </row>
    <row r="925" spans="1:9">
      <c r="A925">
        <v>262</v>
      </c>
      <c r="B925">
        <v>55</v>
      </c>
    </row>
    <row r="926" spans="1:9">
      <c r="A926">
        <v>263</v>
      </c>
      <c r="B926">
        <v>55</v>
      </c>
    </row>
    <row r="927" spans="1:9">
      <c r="A927">
        <v>264</v>
      </c>
      <c r="B927">
        <v>55</v>
      </c>
    </row>
    <row r="928" spans="1:9">
      <c r="A928">
        <v>265</v>
      </c>
      <c r="B928">
        <v>55</v>
      </c>
    </row>
    <row r="929" spans="1:9">
      <c r="A929">
        <v>266</v>
      </c>
      <c r="B929">
        <v>55</v>
      </c>
    </row>
    <row r="930" spans="1:9">
      <c r="A930">
        <v>267</v>
      </c>
      <c r="B930">
        <v>55</v>
      </c>
    </row>
    <row r="931" spans="1:9">
      <c r="A931">
        <v>268</v>
      </c>
      <c r="B931">
        <v>55</v>
      </c>
      <c r="C931">
        <v>1</v>
      </c>
      <c r="E931">
        <v>2</v>
      </c>
      <c r="F931">
        <v>1</v>
      </c>
    </row>
    <row r="932" spans="1:9">
      <c r="A932">
        <v>269</v>
      </c>
      <c r="B932">
        <v>55</v>
      </c>
      <c r="C932">
        <v>1</v>
      </c>
      <c r="E932">
        <v>1</v>
      </c>
      <c r="G932">
        <v>1</v>
      </c>
      <c r="H932">
        <v>1</v>
      </c>
    </row>
    <row r="933" spans="1:9">
      <c r="A933">
        <v>270</v>
      </c>
      <c r="B933">
        <v>55</v>
      </c>
      <c r="C933">
        <v>1</v>
      </c>
      <c r="D933">
        <v>1</v>
      </c>
      <c r="H933">
        <v>1</v>
      </c>
      <c r="I933">
        <v>1</v>
      </c>
    </row>
    <row r="934" spans="1:9">
      <c r="A934">
        <v>271</v>
      </c>
      <c r="B934">
        <v>55</v>
      </c>
      <c r="E934">
        <v>1</v>
      </c>
      <c r="F934">
        <v>1</v>
      </c>
      <c r="G934">
        <v>1</v>
      </c>
      <c r="I934">
        <v>1</v>
      </c>
    </row>
    <row r="935" spans="1:9">
      <c r="A935">
        <v>272</v>
      </c>
      <c r="B935">
        <v>55</v>
      </c>
      <c r="C935">
        <v>1</v>
      </c>
      <c r="D935">
        <v>1</v>
      </c>
      <c r="E935">
        <v>1</v>
      </c>
      <c r="G935">
        <v>1</v>
      </c>
    </row>
    <row r="936" spans="1:9">
      <c r="A936">
        <v>273</v>
      </c>
      <c r="B936">
        <v>55</v>
      </c>
      <c r="C936">
        <v>1</v>
      </c>
      <c r="E936">
        <v>2</v>
      </c>
      <c r="G936">
        <v>1</v>
      </c>
    </row>
    <row r="937" spans="1:9">
      <c r="A937">
        <v>274</v>
      </c>
      <c r="B937">
        <v>55</v>
      </c>
      <c r="D937">
        <v>1</v>
      </c>
      <c r="E937">
        <v>1</v>
      </c>
      <c r="F937">
        <v>1</v>
      </c>
      <c r="I937">
        <v>1</v>
      </c>
    </row>
    <row r="938" spans="1:9">
      <c r="A938">
        <v>275</v>
      </c>
      <c r="B938">
        <v>55</v>
      </c>
    </row>
    <row r="939" spans="1:9">
      <c r="A939">
        <v>276</v>
      </c>
      <c r="B939">
        <v>55</v>
      </c>
    </row>
    <row r="940" spans="1:9">
      <c r="A940">
        <v>277</v>
      </c>
      <c r="B940">
        <v>55</v>
      </c>
    </row>
    <row r="941" spans="1:9">
      <c r="A941">
        <v>278</v>
      </c>
      <c r="B941">
        <v>55</v>
      </c>
    </row>
    <row r="942" spans="1:9">
      <c r="A942">
        <v>279</v>
      </c>
      <c r="B942">
        <v>55</v>
      </c>
    </row>
    <row r="943" spans="1:9">
      <c r="A943">
        <v>280</v>
      </c>
      <c r="B943">
        <v>55</v>
      </c>
    </row>
    <row r="944" spans="1:9">
      <c r="A944">
        <v>281</v>
      </c>
      <c r="B944">
        <v>55</v>
      </c>
    </row>
    <row r="945" spans="1:2">
      <c r="A945">
        <v>282</v>
      </c>
      <c r="B945">
        <v>55</v>
      </c>
    </row>
    <row r="946" spans="1:2">
      <c r="A946">
        <v>283</v>
      </c>
      <c r="B946">
        <v>55</v>
      </c>
    </row>
    <row r="947" spans="1:2">
      <c r="A947">
        <v>239</v>
      </c>
      <c r="B947">
        <v>54</v>
      </c>
    </row>
    <row r="948" spans="1:2">
      <c r="A948">
        <v>240</v>
      </c>
      <c r="B948">
        <v>54</v>
      </c>
    </row>
    <row r="949" spans="1:2">
      <c r="A949">
        <v>241</v>
      </c>
      <c r="B949">
        <v>54</v>
      </c>
    </row>
    <row r="950" spans="1:2">
      <c r="A950">
        <v>242</v>
      </c>
      <c r="B950">
        <v>54</v>
      </c>
    </row>
    <row r="951" spans="1:2">
      <c r="A951">
        <v>243</v>
      </c>
      <c r="B951">
        <v>54</v>
      </c>
    </row>
    <row r="952" spans="1:2">
      <c r="A952">
        <v>244</v>
      </c>
      <c r="B952">
        <v>54</v>
      </c>
    </row>
    <row r="953" spans="1:2">
      <c r="A953">
        <v>245</v>
      </c>
      <c r="B953">
        <v>54</v>
      </c>
    </row>
    <row r="954" spans="1:2">
      <c r="A954">
        <v>246</v>
      </c>
      <c r="B954">
        <v>54</v>
      </c>
    </row>
    <row r="955" spans="1:2">
      <c r="A955">
        <v>247</v>
      </c>
      <c r="B955">
        <v>54</v>
      </c>
    </row>
    <row r="956" spans="1:2">
      <c r="A956">
        <v>248</v>
      </c>
      <c r="B956">
        <v>54</v>
      </c>
    </row>
    <row r="957" spans="1:2">
      <c r="A957">
        <v>249</v>
      </c>
      <c r="B957">
        <v>54</v>
      </c>
    </row>
    <row r="958" spans="1:2">
      <c r="A958">
        <v>250</v>
      </c>
      <c r="B958">
        <v>54</v>
      </c>
    </row>
    <row r="959" spans="1:2">
      <c r="A959">
        <v>251</v>
      </c>
      <c r="B959">
        <v>54</v>
      </c>
    </row>
    <row r="960" spans="1:2">
      <c r="A960">
        <v>252</v>
      </c>
      <c r="B960">
        <v>54</v>
      </c>
    </row>
    <row r="961" spans="1:9">
      <c r="A961">
        <v>253</v>
      </c>
      <c r="B961">
        <v>54</v>
      </c>
      <c r="D961">
        <v>2</v>
      </c>
      <c r="H961">
        <v>1</v>
      </c>
      <c r="I961">
        <v>1</v>
      </c>
    </row>
    <row r="962" spans="1:9">
      <c r="A962">
        <v>254</v>
      </c>
      <c r="B962">
        <v>54</v>
      </c>
      <c r="D962">
        <v>1</v>
      </c>
      <c r="E962">
        <v>1</v>
      </c>
      <c r="H962">
        <v>1</v>
      </c>
      <c r="I962">
        <v>1</v>
      </c>
    </row>
    <row r="963" spans="1:9">
      <c r="A963">
        <v>255</v>
      </c>
      <c r="B963">
        <v>54</v>
      </c>
      <c r="C963">
        <v>1</v>
      </c>
      <c r="D963">
        <v>1</v>
      </c>
      <c r="G963">
        <v>2</v>
      </c>
    </row>
    <row r="964" spans="1:9">
      <c r="A964">
        <v>256</v>
      </c>
      <c r="B964">
        <v>54</v>
      </c>
      <c r="E964">
        <v>2</v>
      </c>
      <c r="F964">
        <v>1</v>
      </c>
      <c r="G964">
        <v>1</v>
      </c>
    </row>
    <row r="965" spans="1:9">
      <c r="A965">
        <v>257</v>
      </c>
      <c r="B965">
        <v>54</v>
      </c>
      <c r="C965">
        <v>1</v>
      </c>
      <c r="E965">
        <v>2</v>
      </c>
      <c r="H965">
        <v>1</v>
      </c>
    </row>
    <row r="966" spans="1:9">
      <c r="A966">
        <v>258</v>
      </c>
      <c r="B966">
        <v>54</v>
      </c>
      <c r="C966">
        <v>1</v>
      </c>
      <c r="D966">
        <v>1</v>
      </c>
      <c r="E966">
        <v>2</v>
      </c>
    </row>
    <row r="967" spans="1:9">
      <c r="A967">
        <v>259</v>
      </c>
      <c r="B967">
        <v>54</v>
      </c>
      <c r="E967">
        <v>1</v>
      </c>
      <c r="F967">
        <v>1</v>
      </c>
      <c r="H967">
        <v>1</v>
      </c>
      <c r="I967">
        <v>1</v>
      </c>
    </row>
    <row r="968" spans="1:9">
      <c r="A968">
        <v>260</v>
      </c>
      <c r="B968">
        <v>54</v>
      </c>
      <c r="C968">
        <v>1</v>
      </c>
      <c r="E968">
        <v>1</v>
      </c>
      <c r="F968">
        <v>1</v>
      </c>
      <c r="I968">
        <v>1</v>
      </c>
    </row>
    <row r="969" spans="1:9">
      <c r="A969">
        <v>261</v>
      </c>
      <c r="B969">
        <v>54</v>
      </c>
    </row>
    <row r="970" spans="1:9">
      <c r="A970">
        <v>262</v>
      </c>
      <c r="B970">
        <v>54</v>
      </c>
    </row>
    <row r="971" spans="1:9">
      <c r="A971">
        <v>263</v>
      </c>
      <c r="B971">
        <v>54</v>
      </c>
    </row>
    <row r="972" spans="1:9">
      <c r="A972">
        <v>264</v>
      </c>
      <c r="B972">
        <v>54</v>
      </c>
    </row>
    <row r="973" spans="1:9">
      <c r="A973">
        <v>265</v>
      </c>
      <c r="B973">
        <v>54</v>
      </c>
    </row>
    <row r="974" spans="1:9">
      <c r="A974">
        <v>266</v>
      </c>
      <c r="B974">
        <v>54</v>
      </c>
    </row>
    <row r="975" spans="1:9">
      <c r="A975">
        <v>267</v>
      </c>
      <c r="B975">
        <v>54</v>
      </c>
    </row>
    <row r="976" spans="1:9">
      <c r="A976">
        <v>268</v>
      </c>
      <c r="B976">
        <v>54</v>
      </c>
    </row>
    <row r="977" spans="1:9">
      <c r="A977">
        <v>269</v>
      </c>
      <c r="B977">
        <v>54</v>
      </c>
      <c r="C977">
        <v>1</v>
      </c>
      <c r="D977">
        <v>1</v>
      </c>
      <c r="E977">
        <v>1</v>
      </c>
      <c r="F977">
        <v>1</v>
      </c>
    </row>
    <row r="978" spans="1:9">
      <c r="A978">
        <v>270</v>
      </c>
      <c r="B978">
        <v>54</v>
      </c>
      <c r="D978">
        <v>2</v>
      </c>
      <c r="E978">
        <v>1</v>
      </c>
      <c r="H978">
        <v>1</v>
      </c>
    </row>
    <row r="979" spans="1:9">
      <c r="A979">
        <v>271</v>
      </c>
      <c r="B979">
        <v>54</v>
      </c>
    </row>
    <row r="980" spans="1:9">
      <c r="A980">
        <v>272</v>
      </c>
      <c r="B980">
        <v>54</v>
      </c>
      <c r="D980">
        <v>1</v>
      </c>
      <c r="F980">
        <v>1</v>
      </c>
      <c r="G980">
        <v>1</v>
      </c>
      <c r="I980">
        <v>1</v>
      </c>
    </row>
    <row r="981" spans="1:9">
      <c r="A981">
        <v>273</v>
      </c>
      <c r="B981">
        <v>54</v>
      </c>
    </row>
    <row r="982" spans="1:9">
      <c r="A982">
        <v>274</v>
      </c>
      <c r="B982">
        <v>54</v>
      </c>
      <c r="C982">
        <v>2</v>
      </c>
      <c r="D982">
        <v>1</v>
      </c>
      <c r="G982">
        <v>1</v>
      </c>
    </row>
    <row r="983" spans="1:9">
      <c r="A983">
        <v>275</v>
      </c>
      <c r="B983">
        <v>54</v>
      </c>
    </row>
    <row r="984" spans="1:9">
      <c r="A984">
        <v>276</v>
      </c>
      <c r="B984">
        <v>54</v>
      </c>
    </row>
    <row r="985" spans="1:9">
      <c r="A985">
        <v>277</v>
      </c>
      <c r="B985">
        <v>54</v>
      </c>
    </row>
    <row r="986" spans="1:9">
      <c r="A986">
        <v>278</v>
      </c>
      <c r="B986">
        <v>54</v>
      </c>
    </row>
    <row r="987" spans="1:9">
      <c r="A987">
        <v>279</v>
      </c>
      <c r="B987">
        <v>54</v>
      </c>
    </row>
    <row r="988" spans="1:9">
      <c r="A988">
        <v>280</v>
      </c>
      <c r="B988">
        <v>54</v>
      </c>
    </row>
    <row r="989" spans="1:9">
      <c r="A989">
        <v>281</v>
      </c>
      <c r="B989">
        <v>54</v>
      </c>
    </row>
    <row r="990" spans="1:9">
      <c r="A990">
        <v>282</v>
      </c>
      <c r="B990">
        <v>54</v>
      </c>
    </row>
    <row r="991" spans="1:9">
      <c r="A991">
        <v>283</v>
      </c>
      <c r="B991">
        <v>54</v>
      </c>
    </row>
    <row r="992" spans="1:9">
      <c r="A992">
        <v>239</v>
      </c>
      <c r="B992">
        <v>53</v>
      </c>
    </row>
    <row r="993" spans="1:9">
      <c r="A993">
        <v>240</v>
      </c>
      <c r="B993">
        <v>53</v>
      </c>
    </row>
    <row r="994" spans="1:9">
      <c r="A994">
        <v>241</v>
      </c>
      <c r="B994">
        <v>53</v>
      </c>
    </row>
    <row r="995" spans="1:9">
      <c r="A995">
        <v>242</v>
      </c>
      <c r="B995">
        <v>53</v>
      </c>
    </row>
    <row r="996" spans="1:9">
      <c r="A996">
        <v>243</v>
      </c>
      <c r="B996">
        <v>53</v>
      </c>
    </row>
    <row r="997" spans="1:9">
      <c r="A997">
        <v>244</v>
      </c>
      <c r="B997">
        <v>53</v>
      </c>
    </row>
    <row r="998" spans="1:9">
      <c r="A998">
        <v>245</v>
      </c>
      <c r="B998">
        <v>53</v>
      </c>
    </row>
    <row r="999" spans="1:9">
      <c r="A999">
        <v>246</v>
      </c>
      <c r="B999">
        <v>53</v>
      </c>
    </row>
    <row r="1000" spans="1:9">
      <c r="A1000">
        <v>247</v>
      </c>
      <c r="B1000">
        <v>53</v>
      </c>
    </row>
    <row r="1001" spans="1:9">
      <c r="A1001">
        <v>248</v>
      </c>
      <c r="B1001">
        <v>53</v>
      </c>
    </row>
    <row r="1002" spans="1:9">
      <c r="A1002">
        <v>249</v>
      </c>
      <c r="B1002">
        <v>53</v>
      </c>
    </row>
    <row r="1003" spans="1:9">
      <c r="A1003">
        <v>250</v>
      </c>
      <c r="B1003">
        <v>53</v>
      </c>
    </row>
    <row r="1004" spans="1:9">
      <c r="A1004">
        <v>251</v>
      </c>
      <c r="B1004">
        <v>53</v>
      </c>
    </row>
    <row r="1005" spans="1:9">
      <c r="A1005">
        <v>252</v>
      </c>
      <c r="B1005">
        <v>53</v>
      </c>
      <c r="C1005">
        <v>1</v>
      </c>
      <c r="D1005">
        <v>1</v>
      </c>
      <c r="F1005">
        <v>1</v>
      </c>
      <c r="G1005">
        <v>1</v>
      </c>
    </row>
    <row r="1006" spans="1:9">
      <c r="A1006">
        <v>253</v>
      </c>
      <c r="B1006">
        <v>53</v>
      </c>
      <c r="D1006">
        <v>1</v>
      </c>
      <c r="E1006">
        <v>2</v>
      </c>
      <c r="I1006">
        <v>1</v>
      </c>
    </row>
    <row r="1007" spans="1:9">
      <c r="A1007">
        <v>254</v>
      </c>
      <c r="B1007">
        <v>53</v>
      </c>
      <c r="C1007">
        <v>1</v>
      </c>
      <c r="E1007">
        <v>2</v>
      </c>
      <c r="G1007">
        <v>1</v>
      </c>
    </row>
    <row r="1008" spans="1:9">
      <c r="A1008">
        <v>255</v>
      </c>
      <c r="B1008">
        <v>53</v>
      </c>
      <c r="C1008">
        <v>1</v>
      </c>
      <c r="D1008">
        <v>1</v>
      </c>
      <c r="H1008">
        <v>2</v>
      </c>
    </row>
    <row r="1009" spans="1:9">
      <c r="A1009">
        <v>256</v>
      </c>
      <c r="B1009">
        <v>53</v>
      </c>
      <c r="F1009">
        <v>2</v>
      </c>
      <c r="H1009">
        <v>1</v>
      </c>
      <c r="I1009">
        <v>1</v>
      </c>
    </row>
    <row r="1010" spans="1:9">
      <c r="A1010">
        <v>257</v>
      </c>
      <c r="B1010">
        <v>53</v>
      </c>
      <c r="C1010">
        <v>1</v>
      </c>
      <c r="D1010">
        <v>1</v>
      </c>
      <c r="G1010">
        <v>1</v>
      </c>
      <c r="H1010">
        <v>1</v>
      </c>
    </row>
    <row r="1011" spans="1:9">
      <c r="A1011">
        <v>258</v>
      </c>
      <c r="B1011">
        <v>53</v>
      </c>
    </row>
    <row r="1012" spans="1:9">
      <c r="A1012">
        <v>259</v>
      </c>
      <c r="B1012">
        <v>53</v>
      </c>
      <c r="C1012">
        <v>1</v>
      </c>
      <c r="D1012">
        <v>1</v>
      </c>
      <c r="H1012">
        <v>2</v>
      </c>
    </row>
    <row r="1013" spans="1:9">
      <c r="A1013">
        <v>260</v>
      </c>
      <c r="B1013">
        <v>53</v>
      </c>
      <c r="D1013">
        <v>2</v>
      </c>
      <c r="G1013">
        <v>1</v>
      </c>
      <c r="I1013">
        <v>1</v>
      </c>
    </row>
    <row r="1014" spans="1:9">
      <c r="A1014">
        <v>261</v>
      </c>
      <c r="B1014">
        <v>53</v>
      </c>
    </row>
    <row r="1015" spans="1:9">
      <c r="A1015">
        <v>262</v>
      </c>
      <c r="B1015">
        <v>53</v>
      </c>
    </row>
    <row r="1016" spans="1:9">
      <c r="A1016">
        <v>263</v>
      </c>
      <c r="B1016">
        <v>53</v>
      </c>
    </row>
    <row r="1017" spans="1:9">
      <c r="A1017">
        <v>264</v>
      </c>
      <c r="B1017">
        <v>53</v>
      </c>
    </row>
    <row r="1018" spans="1:9">
      <c r="A1018">
        <v>265</v>
      </c>
      <c r="B1018">
        <v>53</v>
      </c>
    </row>
    <row r="1019" spans="1:9">
      <c r="A1019">
        <v>266</v>
      </c>
      <c r="B1019">
        <v>53</v>
      </c>
    </row>
    <row r="1020" spans="1:9">
      <c r="A1020">
        <v>267</v>
      </c>
      <c r="B1020">
        <v>53</v>
      </c>
    </row>
    <row r="1021" spans="1:9">
      <c r="A1021">
        <v>268</v>
      </c>
      <c r="B1021">
        <v>53</v>
      </c>
    </row>
    <row r="1022" spans="1:9">
      <c r="A1022">
        <v>269</v>
      </c>
      <c r="B1022">
        <v>53</v>
      </c>
    </row>
    <row r="1023" spans="1:9">
      <c r="A1023">
        <v>270</v>
      </c>
      <c r="B1023">
        <v>53</v>
      </c>
      <c r="D1023">
        <v>2</v>
      </c>
      <c r="E1023">
        <v>1</v>
      </c>
      <c r="G1023">
        <v>1</v>
      </c>
    </row>
    <row r="1024" spans="1:9">
      <c r="A1024">
        <v>271</v>
      </c>
      <c r="B1024">
        <v>53</v>
      </c>
      <c r="D1024">
        <v>2</v>
      </c>
      <c r="H1024">
        <v>1</v>
      </c>
      <c r="I1024">
        <v>1</v>
      </c>
    </row>
    <row r="1025" spans="1:9">
      <c r="A1025">
        <v>272</v>
      </c>
      <c r="B1025">
        <v>53</v>
      </c>
      <c r="C1025">
        <v>1</v>
      </c>
      <c r="D1025">
        <v>1</v>
      </c>
      <c r="E1025">
        <v>1</v>
      </c>
      <c r="I1025">
        <v>1</v>
      </c>
    </row>
    <row r="1026" spans="1:9">
      <c r="A1026">
        <v>273</v>
      </c>
      <c r="B1026">
        <v>53</v>
      </c>
      <c r="D1026">
        <v>2</v>
      </c>
      <c r="E1026">
        <v>1</v>
      </c>
      <c r="G1026">
        <v>1</v>
      </c>
    </row>
    <row r="1027" spans="1:9">
      <c r="A1027">
        <v>274</v>
      </c>
      <c r="B1027">
        <v>53</v>
      </c>
    </row>
    <row r="1028" spans="1:9">
      <c r="A1028">
        <v>275</v>
      </c>
      <c r="B1028">
        <v>53</v>
      </c>
    </row>
    <row r="1029" spans="1:9">
      <c r="A1029">
        <v>276</v>
      </c>
      <c r="B1029">
        <v>53</v>
      </c>
    </row>
    <row r="1030" spans="1:9">
      <c r="A1030">
        <v>277</v>
      </c>
      <c r="B1030">
        <v>53</v>
      </c>
    </row>
    <row r="1031" spans="1:9">
      <c r="A1031">
        <v>278</v>
      </c>
      <c r="B1031">
        <v>53</v>
      </c>
    </row>
    <row r="1032" spans="1:9">
      <c r="A1032">
        <v>279</v>
      </c>
      <c r="B1032">
        <v>53</v>
      </c>
    </row>
    <row r="1033" spans="1:9">
      <c r="A1033">
        <v>280</v>
      </c>
      <c r="B1033">
        <v>53</v>
      </c>
    </row>
    <row r="1034" spans="1:9">
      <c r="A1034">
        <v>281</v>
      </c>
      <c r="B1034">
        <v>53</v>
      </c>
    </row>
    <row r="1035" spans="1:9">
      <c r="A1035">
        <v>282</v>
      </c>
      <c r="B1035">
        <v>53</v>
      </c>
    </row>
    <row r="1036" spans="1:9">
      <c r="A1036">
        <v>283</v>
      </c>
      <c r="B1036">
        <v>53</v>
      </c>
    </row>
    <row r="1037" spans="1:9">
      <c r="A1037">
        <v>239</v>
      </c>
      <c r="B1037">
        <v>52</v>
      </c>
    </row>
    <row r="1038" spans="1:9">
      <c r="A1038">
        <v>240</v>
      </c>
      <c r="B1038">
        <v>52</v>
      </c>
    </row>
    <row r="1039" spans="1:9">
      <c r="A1039">
        <v>241</v>
      </c>
      <c r="B1039">
        <v>52</v>
      </c>
    </row>
    <row r="1040" spans="1:9">
      <c r="A1040">
        <v>242</v>
      </c>
      <c r="B1040">
        <v>52</v>
      </c>
    </row>
    <row r="1041" spans="1:9">
      <c r="A1041">
        <v>243</v>
      </c>
      <c r="B1041">
        <v>52</v>
      </c>
    </row>
    <row r="1042" spans="1:9">
      <c r="A1042">
        <v>244</v>
      </c>
      <c r="B1042">
        <v>52</v>
      </c>
    </row>
    <row r="1043" spans="1:9">
      <c r="A1043">
        <v>245</v>
      </c>
      <c r="B1043">
        <v>52</v>
      </c>
    </row>
    <row r="1044" spans="1:9">
      <c r="A1044">
        <v>246</v>
      </c>
      <c r="B1044">
        <v>52</v>
      </c>
    </row>
    <row r="1045" spans="1:9">
      <c r="A1045">
        <v>247</v>
      </c>
      <c r="B1045">
        <v>52</v>
      </c>
    </row>
    <row r="1046" spans="1:9">
      <c r="A1046">
        <v>248</v>
      </c>
      <c r="B1046">
        <v>52</v>
      </c>
    </row>
    <row r="1047" spans="1:9">
      <c r="A1047">
        <v>249</v>
      </c>
      <c r="B1047">
        <v>52</v>
      </c>
    </row>
    <row r="1048" spans="1:9">
      <c r="A1048">
        <v>250</v>
      </c>
      <c r="B1048">
        <v>52</v>
      </c>
    </row>
    <row r="1049" spans="1:9">
      <c r="A1049">
        <v>251</v>
      </c>
      <c r="B1049">
        <v>52</v>
      </c>
      <c r="C1049">
        <v>1</v>
      </c>
      <c r="E1049">
        <v>1</v>
      </c>
      <c r="F1049">
        <v>1</v>
      </c>
      <c r="I1049">
        <v>1</v>
      </c>
    </row>
    <row r="1050" spans="1:9">
      <c r="A1050">
        <v>252</v>
      </c>
      <c r="B1050">
        <v>52</v>
      </c>
      <c r="C1050">
        <v>1</v>
      </c>
      <c r="E1050">
        <v>2</v>
      </c>
      <c r="H1050">
        <v>1</v>
      </c>
    </row>
    <row r="1051" spans="1:9">
      <c r="A1051">
        <v>253</v>
      </c>
      <c r="B1051">
        <v>52</v>
      </c>
      <c r="C1051">
        <v>1</v>
      </c>
      <c r="D1051">
        <v>1</v>
      </c>
      <c r="G1051">
        <v>1</v>
      </c>
      <c r="H1051">
        <v>1</v>
      </c>
    </row>
    <row r="1052" spans="1:9">
      <c r="A1052">
        <v>254</v>
      </c>
      <c r="B1052">
        <v>52</v>
      </c>
    </row>
    <row r="1053" spans="1:9">
      <c r="A1053">
        <v>255</v>
      </c>
      <c r="B1053">
        <v>52</v>
      </c>
    </row>
    <row r="1054" spans="1:9">
      <c r="A1054">
        <v>256</v>
      </c>
      <c r="B1054">
        <v>52</v>
      </c>
      <c r="C1054">
        <v>2</v>
      </c>
      <c r="E1054">
        <v>1</v>
      </c>
      <c r="I1054">
        <v>1</v>
      </c>
    </row>
    <row r="1055" spans="1:9">
      <c r="A1055">
        <v>257</v>
      </c>
      <c r="B1055">
        <v>52</v>
      </c>
      <c r="C1055">
        <v>1</v>
      </c>
      <c r="F1055">
        <v>1</v>
      </c>
      <c r="G1055">
        <v>1</v>
      </c>
      <c r="H1055">
        <v>1</v>
      </c>
    </row>
    <row r="1056" spans="1:9">
      <c r="A1056">
        <v>258</v>
      </c>
      <c r="B1056">
        <v>52</v>
      </c>
      <c r="D1056">
        <v>1</v>
      </c>
      <c r="F1056">
        <v>1</v>
      </c>
      <c r="H1056">
        <v>1</v>
      </c>
      <c r="I1056">
        <v>1</v>
      </c>
    </row>
    <row r="1057" spans="1:9">
      <c r="A1057">
        <v>259</v>
      </c>
      <c r="B1057">
        <v>52</v>
      </c>
      <c r="D1057">
        <v>1</v>
      </c>
      <c r="E1057">
        <v>1</v>
      </c>
      <c r="F1057">
        <v>1</v>
      </c>
      <c r="H1057">
        <v>1</v>
      </c>
    </row>
    <row r="1058" spans="1:9">
      <c r="A1058">
        <v>260</v>
      </c>
      <c r="B1058">
        <v>52</v>
      </c>
    </row>
    <row r="1059" spans="1:9">
      <c r="A1059">
        <v>261</v>
      </c>
      <c r="B1059">
        <v>52</v>
      </c>
    </row>
    <row r="1060" spans="1:9">
      <c r="A1060">
        <v>262</v>
      </c>
      <c r="B1060">
        <v>52</v>
      </c>
    </row>
    <row r="1061" spans="1:9">
      <c r="A1061">
        <v>263</v>
      </c>
      <c r="B1061">
        <v>52</v>
      </c>
    </row>
    <row r="1062" spans="1:9">
      <c r="A1062">
        <v>264</v>
      </c>
      <c r="B1062">
        <v>52</v>
      </c>
    </row>
    <row r="1063" spans="1:9">
      <c r="A1063">
        <v>265</v>
      </c>
      <c r="B1063">
        <v>52</v>
      </c>
    </row>
    <row r="1064" spans="1:9">
      <c r="A1064">
        <v>266</v>
      </c>
      <c r="B1064">
        <v>52</v>
      </c>
    </row>
    <row r="1065" spans="1:9">
      <c r="A1065">
        <v>267</v>
      </c>
      <c r="B1065">
        <v>52</v>
      </c>
    </row>
    <row r="1066" spans="1:9">
      <c r="A1066">
        <v>268</v>
      </c>
      <c r="B1066">
        <v>52</v>
      </c>
    </row>
    <row r="1067" spans="1:9">
      <c r="A1067">
        <v>269</v>
      </c>
      <c r="B1067">
        <v>52</v>
      </c>
    </row>
    <row r="1068" spans="1:9">
      <c r="A1068">
        <v>270</v>
      </c>
      <c r="B1068">
        <v>52</v>
      </c>
      <c r="C1068">
        <v>1</v>
      </c>
      <c r="E1068">
        <v>1</v>
      </c>
      <c r="F1068">
        <v>1</v>
      </c>
      <c r="G1068">
        <v>1</v>
      </c>
    </row>
    <row r="1069" spans="1:9">
      <c r="A1069">
        <v>271</v>
      </c>
      <c r="B1069">
        <v>52</v>
      </c>
      <c r="C1069">
        <v>1</v>
      </c>
      <c r="D1069">
        <v>1</v>
      </c>
      <c r="F1069">
        <v>1</v>
      </c>
      <c r="I1069">
        <v>1</v>
      </c>
    </row>
    <row r="1070" spans="1:9">
      <c r="A1070">
        <v>272</v>
      </c>
      <c r="B1070">
        <v>52</v>
      </c>
    </row>
    <row r="1071" spans="1:9">
      <c r="A1071">
        <v>273</v>
      </c>
      <c r="B1071">
        <v>52</v>
      </c>
      <c r="G1071">
        <v>1</v>
      </c>
      <c r="H1071">
        <v>1</v>
      </c>
      <c r="I1071">
        <v>2</v>
      </c>
    </row>
    <row r="1072" spans="1:9">
      <c r="A1072">
        <v>274</v>
      </c>
      <c r="B1072">
        <v>52</v>
      </c>
    </row>
    <row r="1073" spans="1:2">
      <c r="A1073">
        <v>275</v>
      </c>
      <c r="B1073">
        <v>52</v>
      </c>
    </row>
    <row r="1074" spans="1:2">
      <c r="A1074">
        <v>276</v>
      </c>
      <c r="B1074">
        <v>52</v>
      </c>
    </row>
    <row r="1075" spans="1:2">
      <c r="A1075">
        <v>277</v>
      </c>
      <c r="B1075">
        <v>52</v>
      </c>
    </row>
    <row r="1076" spans="1:2">
      <c r="A1076">
        <v>278</v>
      </c>
      <c r="B1076">
        <v>52</v>
      </c>
    </row>
    <row r="1077" spans="1:2">
      <c r="A1077">
        <v>279</v>
      </c>
      <c r="B1077">
        <v>52</v>
      </c>
    </row>
    <row r="1078" spans="1:2">
      <c r="A1078">
        <v>280</v>
      </c>
      <c r="B1078">
        <v>52</v>
      </c>
    </row>
    <row r="1079" spans="1:2">
      <c r="A1079">
        <v>281</v>
      </c>
      <c r="B1079">
        <v>52</v>
      </c>
    </row>
    <row r="1080" spans="1:2">
      <c r="A1080">
        <v>282</v>
      </c>
      <c r="B1080">
        <v>52</v>
      </c>
    </row>
    <row r="1081" spans="1:2">
      <c r="A1081">
        <v>283</v>
      </c>
      <c r="B1081">
        <v>52</v>
      </c>
    </row>
    <row r="1082" spans="1:2">
      <c r="A1082">
        <v>239</v>
      </c>
      <c r="B1082">
        <v>51</v>
      </c>
    </row>
    <row r="1083" spans="1:2">
      <c r="A1083">
        <v>240</v>
      </c>
      <c r="B1083">
        <v>51</v>
      </c>
    </row>
    <row r="1084" spans="1:2">
      <c r="A1084">
        <v>241</v>
      </c>
      <c r="B1084">
        <v>51</v>
      </c>
    </row>
    <row r="1085" spans="1:2">
      <c r="A1085">
        <v>242</v>
      </c>
      <c r="B1085">
        <v>51</v>
      </c>
    </row>
    <row r="1086" spans="1:2">
      <c r="A1086">
        <v>243</v>
      </c>
      <c r="B1086">
        <v>51</v>
      </c>
    </row>
    <row r="1087" spans="1:2">
      <c r="A1087">
        <v>244</v>
      </c>
      <c r="B1087">
        <v>51</v>
      </c>
    </row>
    <row r="1088" spans="1:2">
      <c r="A1088">
        <v>245</v>
      </c>
      <c r="B1088">
        <v>51</v>
      </c>
    </row>
    <row r="1089" spans="1:9">
      <c r="A1089">
        <v>246</v>
      </c>
      <c r="B1089">
        <v>51</v>
      </c>
    </row>
    <row r="1090" spans="1:9">
      <c r="A1090">
        <v>247</v>
      </c>
      <c r="B1090">
        <v>51</v>
      </c>
    </row>
    <row r="1091" spans="1:9">
      <c r="A1091">
        <v>248</v>
      </c>
      <c r="B1091">
        <v>51</v>
      </c>
    </row>
    <row r="1092" spans="1:9">
      <c r="A1092">
        <v>249</v>
      </c>
      <c r="B1092">
        <v>51</v>
      </c>
    </row>
    <row r="1093" spans="1:9">
      <c r="A1093">
        <v>250</v>
      </c>
      <c r="B1093">
        <v>51</v>
      </c>
    </row>
    <row r="1094" spans="1:9">
      <c r="A1094">
        <v>251</v>
      </c>
      <c r="B1094">
        <v>51</v>
      </c>
    </row>
    <row r="1095" spans="1:9">
      <c r="A1095">
        <v>252</v>
      </c>
      <c r="B1095">
        <v>51</v>
      </c>
      <c r="E1095">
        <v>1</v>
      </c>
      <c r="F1095">
        <v>1</v>
      </c>
      <c r="G1095">
        <v>1</v>
      </c>
      <c r="I1095">
        <v>1</v>
      </c>
    </row>
    <row r="1096" spans="1:9">
      <c r="A1096">
        <v>253</v>
      </c>
      <c r="B1096">
        <v>51</v>
      </c>
      <c r="C1096">
        <v>1</v>
      </c>
      <c r="D1096">
        <v>1</v>
      </c>
      <c r="F1096">
        <v>1</v>
      </c>
      <c r="H1096">
        <v>1</v>
      </c>
    </row>
    <row r="1097" spans="1:9">
      <c r="A1097">
        <v>254</v>
      </c>
      <c r="B1097">
        <v>51</v>
      </c>
      <c r="E1097">
        <v>1</v>
      </c>
      <c r="F1097">
        <v>1</v>
      </c>
      <c r="G1097">
        <v>1</v>
      </c>
      <c r="I1097">
        <v>1</v>
      </c>
    </row>
    <row r="1098" spans="1:9">
      <c r="A1098">
        <v>255</v>
      </c>
      <c r="B1098">
        <v>51</v>
      </c>
      <c r="D1098">
        <v>1</v>
      </c>
      <c r="F1098">
        <v>1</v>
      </c>
      <c r="G1098">
        <v>1</v>
      </c>
      <c r="I1098">
        <v>1</v>
      </c>
    </row>
    <row r="1099" spans="1:9">
      <c r="A1099">
        <v>256</v>
      </c>
      <c r="B1099">
        <v>51</v>
      </c>
      <c r="C1099">
        <v>1</v>
      </c>
      <c r="D1099">
        <v>2</v>
      </c>
      <c r="F1099">
        <v>1</v>
      </c>
    </row>
    <row r="1100" spans="1:9">
      <c r="A1100">
        <v>257</v>
      </c>
      <c r="B1100">
        <v>51</v>
      </c>
    </row>
    <row r="1101" spans="1:9">
      <c r="A1101">
        <v>258</v>
      </c>
      <c r="B1101">
        <v>51</v>
      </c>
      <c r="C1101">
        <v>1</v>
      </c>
      <c r="E1101">
        <v>1</v>
      </c>
      <c r="G1101">
        <v>1</v>
      </c>
      <c r="H1101">
        <v>1</v>
      </c>
    </row>
    <row r="1102" spans="1:9">
      <c r="A1102">
        <v>259</v>
      </c>
      <c r="B1102">
        <v>51</v>
      </c>
    </row>
    <row r="1103" spans="1:9">
      <c r="A1103">
        <v>260</v>
      </c>
      <c r="B1103">
        <v>51</v>
      </c>
    </row>
    <row r="1104" spans="1:9">
      <c r="A1104">
        <v>261</v>
      </c>
      <c r="B1104">
        <v>51</v>
      </c>
    </row>
    <row r="1105" spans="1:9">
      <c r="A1105">
        <v>262</v>
      </c>
      <c r="B1105">
        <v>51</v>
      </c>
    </row>
    <row r="1106" spans="1:9">
      <c r="A1106">
        <v>263</v>
      </c>
      <c r="B1106">
        <v>51</v>
      </c>
    </row>
    <row r="1107" spans="1:9">
      <c r="A1107">
        <v>264</v>
      </c>
      <c r="B1107">
        <v>51</v>
      </c>
    </row>
    <row r="1108" spans="1:9">
      <c r="A1108">
        <v>265</v>
      </c>
      <c r="B1108">
        <v>51</v>
      </c>
    </row>
    <row r="1109" spans="1:9">
      <c r="A1109">
        <v>266</v>
      </c>
      <c r="B1109">
        <v>51</v>
      </c>
    </row>
    <row r="1110" spans="1:9">
      <c r="A1110">
        <v>267</v>
      </c>
      <c r="B1110">
        <v>51</v>
      </c>
    </row>
    <row r="1111" spans="1:9">
      <c r="A1111">
        <v>268</v>
      </c>
      <c r="B1111">
        <v>51</v>
      </c>
    </row>
    <row r="1112" spans="1:9">
      <c r="A1112">
        <v>269</v>
      </c>
      <c r="B1112">
        <v>51</v>
      </c>
    </row>
    <row r="1113" spans="1:9">
      <c r="A1113">
        <v>270</v>
      </c>
      <c r="B1113">
        <v>51</v>
      </c>
      <c r="D1113">
        <v>1</v>
      </c>
      <c r="E1113">
        <v>1</v>
      </c>
      <c r="G1113">
        <v>1</v>
      </c>
      <c r="I1113">
        <v>1</v>
      </c>
    </row>
    <row r="1114" spans="1:9">
      <c r="A1114">
        <v>271</v>
      </c>
      <c r="B1114">
        <v>51</v>
      </c>
      <c r="E1114">
        <v>1</v>
      </c>
      <c r="F1114">
        <v>1</v>
      </c>
      <c r="H1114">
        <v>1</v>
      </c>
      <c r="I1114">
        <v>1</v>
      </c>
    </row>
    <row r="1115" spans="1:9">
      <c r="A1115">
        <v>272</v>
      </c>
      <c r="B1115">
        <v>51</v>
      </c>
      <c r="D1115">
        <v>1</v>
      </c>
      <c r="H1115">
        <v>2</v>
      </c>
      <c r="I1115">
        <v>1</v>
      </c>
    </row>
    <row r="1116" spans="1:9">
      <c r="A1116">
        <v>273</v>
      </c>
      <c r="B1116">
        <v>51</v>
      </c>
      <c r="C1116">
        <v>1</v>
      </c>
      <c r="F1116">
        <v>1</v>
      </c>
      <c r="H1116">
        <v>1</v>
      </c>
      <c r="I1116">
        <v>1</v>
      </c>
    </row>
    <row r="1117" spans="1:9">
      <c r="A1117">
        <v>274</v>
      </c>
      <c r="B1117">
        <v>51</v>
      </c>
    </row>
    <row r="1118" spans="1:9">
      <c r="A1118">
        <v>275</v>
      </c>
      <c r="B1118">
        <v>51</v>
      </c>
    </row>
    <row r="1119" spans="1:9">
      <c r="A1119">
        <v>276</v>
      </c>
      <c r="B1119">
        <v>51</v>
      </c>
    </row>
    <row r="1120" spans="1:9">
      <c r="A1120">
        <v>277</v>
      </c>
      <c r="B1120">
        <v>51</v>
      </c>
    </row>
    <row r="1121" spans="1:2">
      <c r="A1121">
        <v>278</v>
      </c>
      <c r="B1121">
        <v>51</v>
      </c>
    </row>
    <row r="1122" spans="1:2">
      <c r="A1122">
        <v>279</v>
      </c>
      <c r="B1122">
        <v>51</v>
      </c>
    </row>
    <row r="1123" spans="1:2">
      <c r="A1123">
        <v>280</v>
      </c>
      <c r="B1123">
        <v>51</v>
      </c>
    </row>
    <row r="1124" spans="1:2">
      <c r="A1124">
        <v>281</v>
      </c>
      <c r="B1124">
        <v>51</v>
      </c>
    </row>
    <row r="1125" spans="1:2">
      <c r="A1125">
        <v>282</v>
      </c>
      <c r="B1125">
        <v>51</v>
      </c>
    </row>
    <row r="1126" spans="1:2">
      <c r="A1126">
        <v>283</v>
      </c>
      <c r="B1126">
        <v>51</v>
      </c>
    </row>
    <row r="1127" spans="1:2">
      <c r="A1127">
        <v>239</v>
      </c>
      <c r="B1127">
        <v>50</v>
      </c>
    </row>
    <row r="1128" spans="1:2">
      <c r="A1128">
        <v>240</v>
      </c>
      <c r="B1128">
        <v>50</v>
      </c>
    </row>
    <row r="1129" spans="1:2">
      <c r="A1129">
        <v>241</v>
      </c>
      <c r="B1129">
        <v>50</v>
      </c>
    </row>
    <row r="1130" spans="1:2">
      <c r="A1130">
        <v>242</v>
      </c>
      <c r="B1130">
        <v>50</v>
      </c>
    </row>
    <row r="1131" spans="1:2">
      <c r="A1131">
        <v>243</v>
      </c>
      <c r="B1131">
        <v>50</v>
      </c>
    </row>
    <row r="1132" spans="1:2">
      <c r="A1132">
        <v>244</v>
      </c>
      <c r="B1132">
        <v>50</v>
      </c>
    </row>
    <row r="1133" spans="1:2">
      <c r="A1133">
        <v>245</v>
      </c>
      <c r="B1133">
        <v>50</v>
      </c>
    </row>
    <row r="1134" spans="1:2">
      <c r="A1134">
        <v>246</v>
      </c>
      <c r="B1134">
        <v>50</v>
      </c>
    </row>
    <row r="1135" spans="1:2">
      <c r="A1135">
        <v>247</v>
      </c>
      <c r="B1135">
        <v>50</v>
      </c>
    </row>
    <row r="1136" spans="1:2">
      <c r="A1136">
        <v>248</v>
      </c>
      <c r="B1136">
        <v>50</v>
      </c>
    </row>
    <row r="1137" spans="1:9">
      <c r="A1137">
        <v>249</v>
      </c>
      <c r="B1137">
        <v>50</v>
      </c>
    </row>
    <row r="1138" spans="1:9">
      <c r="A1138">
        <v>250</v>
      </c>
      <c r="B1138">
        <v>50</v>
      </c>
    </row>
    <row r="1139" spans="1:9">
      <c r="A1139">
        <v>251</v>
      </c>
      <c r="B1139">
        <v>50</v>
      </c>
    </row>
    <row r="1140" spans="1:9">
      <c r="A1140">
        <v>252</v>
      </c>
      <c r="B1140">
        <v>50</v>
      </c>
    </row>
    <row r="1141" spans="1:9">
      <c r="A1141">
        <v>253</v>
      </c>
      <c r="B1141">
        <v>50</v>
      </c>
      <c r="D1141">
        <v>2</v>
      </c>
      <c r="E1141">
        <v>1</v>
      </c>
      <c r="H1141">
        <v>1</v>
      </c>
    </row>
    <row r="1142" spans="1:9">
      <c r="A1142">
        <v>254</v>
      </c>
      <c r="B1142">
        <v>50</v>
      </c>
      <c r="C1142">
        <v>1</v>
      </c>
      <c r="E1142">
        <v>1</v>
      </c>
      <c r="F1142">
        <v>2</v>
      </c>
    </row>
    <row r="1143" spans="1:9">
      <c r="A1143">
        <v>255</v>
      </c>
      <c r="B1143">
        <v>50</v>
      </c>
    </row>
    <row r="1144" spans="1:9">
      <c r="A1144">
        <v>256</v>
      </c>
      <c r="B1144">
        <v>50</v>
      </c>
      <c r="E1144">
        <v>1</v>
      </c>
      <c r="F1144">
        <v>1</v>
      </c>
      <c r="G1144">
        <v>1</v>
      </c>
      <c r="I1144">
        <v>1</v>
      </c>
    </row>
    <row r="1145" spans="1:9">
      <c r="A1145">
        <v>257</v>
      </c>
      <c r="B1145">
        <v>50</v>
      </c>
    </row>
    <row r="1146" spans="1:9">
      <c r="A1146">
        <v>258</v>
      </c>
      <c r="B1146">
        <v>50</v>
      </c>
    </row>
    <row r="1147" spans="1:9">
      <c r="A1147">
        <v>259</v>
      </c>
      <c r="B1147">
        <v>50</v>
      </c>
    </row>
    <row r="1148" spans="1:9">
      <c r="A1148">
        <v>260</v>
      </c>
      <c r="B1148">
        <v>50</v>
      </c>
    </row>
    <row r="1149" spans="1:9">
      <c r="A1149">
        <v>261</v>
      </c>
      <c r="B1149">
        <v>50</v>
      </c>
    </row>
    <row r="1150" spans="1:9">
      <c r="A1150">
        <v>262</v>
      </c>
      <c r="B1150">
        <v>50</v>
      </c>
    </row>
    <row r="1151" spans="1:9">
      <c r="A1151">
        <v>263</v>
      </c>
      <c r="B1151">
        <v>50</v>
      </c>
    </row>
    <row r="1152" spans="1:9">
      <c r="A1152">
        <v>264</v>
      </c>
      <c r="B1152">
        <v>50</v>
      </c>
    </row>
    <row r="1153" spans="1:9">
      <c r="A1153">
        <v>265</v>
      </c>
      <c r="B1153">
        <v>50</v>
      </c>
    </row>
    <row r="1154" spans="1:9">
      <c r="A1154">
        <v>266</v>
      </c>
      <c r="B1154">
        <v>50</v>
      </c>
    </row>
    <row r="1155" spans="1:9">
      <c r="A1155">
        <v>267</v>
      </c>
      <c r="B1155">
        <v>50</v>
      </c>
    </row>
    <row r="1156" spans="1:9">
      <c r="A1156">
        <v>268</v>
      </c>
      <c r="B1156">
        <v>50</v>
      </c>
    </row>
    <row r="1157" spans="1:9">
      <c r="A1157">
        <v>269</v>
      </c>
      <c r="B1157">
        <v>50</v>
      </c>
    </row>
    <row r="1158" spans="1:9">
      <c r="A1158">
        <v>270</v>
      </c>
      <c r="B1158">
        <v>50</v>
      </c>
    </row>
    <row r="1159" spans="1:9">
      <c r="A1159">
        <v>271</v>
      </c>
      <c r="B1159">
        <v>50</v>
      </c>
    </row>
    <row r="1160" spans="1:9">
      <c r="A1160">
        <v>272</v>
      </c>
      <c r="B1160">
        <v>50</v>
      </c>
      <c r="E1160">
        <v>1</v>
      </c>
      <c r="F1160">
        <v>1</v>
      </c>
      <c r="G1160">
        <v>1</v>
      </c>
      <c r="H1160">
        <v>1</v>
      </c>
    </row>
    <row r="1161" spans="1:9">
      <c r="A1161">
        <v>273</v>
      </c>
      <c r="B1161">
        <v>50</v>
      </c>
      <c r="C1161">
        <v>1</v>
      </c>
      <c r="H1161">
        <v>1</v>
      </c>
      <c r="I1161">
        <v>2</v>
      </c>
    </row>
    <row r="1162" spans="1:9">
      <c r="A1162">
        <v>274</v>
      </c>
      <c r="B1162">
        <v>50</v>
      </c>
    </row>
    <row r="1163" spans="1:9">
      <c r="A1163">
        <v>275</v>
      </c>
      <c r="B1163">
        <v>50</v>
      </c>
    </row>
    <row r="1164" spans="1:9">
      <c r="A1164">
        <v>276</v>
      </c>
      <c r="B1164">
        <v>50</v>
      </c>
    </row>
    <row r="1165" spans="1:9">
      <c r="A1165">
        <v>277</v>
      </c>
      <c r="B1165">
        <v>50</v>
      </c>
    </row>
    <row r="1166" spans="1:9">
      <c r="A1166">
        <v>278</v>
      </c>
      <c r="B1166">
        <v>50</v>
      </c>
    </row>
    <row r="1167" spans="1:9">
      <c r="A1167">
        <v>279</v>
      </c>
      <c r="B1167">
        <v>50</v>
      </c>
    </row>
    <row r="1168" spans="1:9">
      <c r="A1168">
        <v>280</v>
      </c>
      <c r="B1168">
        <v>50</v>
      </c>
    </row>
    <row r="1169" spans="1:2">
      <c r="A1169">
        <v>281</v>
      </c>
      <c r="B1169">
        <v>50</v>
      </c>
    </row>
    <row r="1170" spans="1:2">
      <c r="A1170">
        <v>282</v>
      </c>
      <c r="B1170">
        <v>50</v>
      </c>
    </row>
    <row r="1171" spans="1:2">
      <c r="A1171">
        <v>283</v>
      </c>
      <c r="B1171">
        <v>50</v>
      </c>
    </row>
    <row r="1172" spans="1:2">
      <c r="A1172">
        <v>239</v>
      </c>
      <c r="B1172">
        <v>49</v>
      </c>
    </row>
    <row r="1173" spans="1:2">
      <c r="A1173">
        <v>240</v>
      </c>
      <c r="B1173">
        <v>49</v>
      </c>
    </row>
    <row r="1174" spans="1:2">
      <c r="A1174">
        <v>241</v>
      </c>
      <c r="B1174">
        <v>49</v>
      </c>
    </row>
    <row r="1175" spans="1:2">
      <c r="A1175">
        <v>242</v>
      </c>
      <c r="B1175">
        <v>49</v>
      </c>
    </row>
    <row r="1176" spans="1:2">
      <c r="A1176">
        <v>243</v>
      </c>
      <c r="B1176">
        <v>49</v>
      </c>
    </row>
    <row r="1177" spans="1:2">
      <c r="A1177">
        <v>244</v>
      </c>
      <c r="B1177">
        <v>49</v>
      </c>
    </row>
    <row r="1178" spans="1:2">
      <c r="A1178">
        <v>245</v>
      </c>
      <c r="B1178">
        <v>49</v>
      </c>
    </row>
    <row r="1179" spans="1:2">
      <c r="A1179">
        <v>246</v>
      </c>
      <c r="B1179">
        <v>49</v>
      </c>
    </row>
    <row r="1180" spans="1:2">
      <c r="A1180">
        <v>247</v>
      </c>
      <c r="B1180">
        <v>49</v>
      </c>
    </row>
    <row r="1181" spans="1:2">
      <c r="A1181">
        <v>248</v>
      </c>
      <c r="B1181">
        <v>49</v>
      </c>
    </row>
    <row r="1182" spans="1:2">
      <c r="A1182">
        <v>249</v>
      </c>
      <c r="B1182">
        <v>49</v>
      </c>
    </row>
    <row r="1183" spans="1:2">
      <c r="A1183">
        <v>250</v>
      </c>
      <c r="B1183">
        <v>49</v>
      </c>
    </row>
    <row r="1184" spans="1:2">
      <c r="A1184">
        <v>251</v>
      </c>
      <c r="B1184">
        <v>49</v>
      </c>
    </row>
    <row r="1185" spans="1:9">
      <c r="A1185">
        <v>252</v>
      </c>
      <c r="B1185">
        <v>49</v>
      </c>
    </row>
    <row r="1186" spans="1:9">
      <c r="A1186">
        <v>253</v>
      </c>
      <c r="B1186">
        <v>49</v>
      </c>
      <c r="C1186">
        <v>1</v>
      </c>
      <c r="D1186">
        <v>1</v>
      </c>
      <c r="I1186">
        <v>2</v>
      </c>
    </row>
    <row r="1187" spans="1:9">
      <c r="A1187">
        <v>254</v>
      </c>
      <c r="B1187">
        <v>49</v>
      </c>
    </row>
    <row r="1188" spans="1:9">
      <c r="A1188">
        <v>255</v>
      </c>
      <c r="B1188">
        <v>49</v>
      </c>
      <c r="E1188">
        <v>1</v>
      </c>
      <c r="F1188">
        <v>1</v>
      </c>
      <c r="G1188">
        <v>1</v>
      </c>
      <c r="I1188">
        <v>1</v>
      </c>
    </row>
    <row r="1189" spans="1:9">
      <c r="A1189">
        <v>256</v>
      </c>
      <c r="B1189">
        <v>49</v>
      </c>
      <c r="C1189">
        <v>1</v>
      </c>
      <c r="D1189">
        <v>1</v>
      </c>
      <c r="H1189">
        <v>1</v>
      </c>
      <c r="I1189">
        <v>1</v>
      </c>
    </row>
    <row r="1190" spans="1:9">
      <c r="A1190">
        <v>257</v>
      </c>
      <c r="B1190">
        <v>49</v>
      </c>
    </row>
    <row r="1191" spans="1:9">
      <c r="A1191">
        <v>258</v>
      </c>
      <c r="B1191">
        <v>49</v>
      </c>
    </row>
    <row r="1192" spans="1:9">
      <c r="A1192">
        <v>259</v>
      </c>
      <c r="B1192">
        <v>49</v>
      </c>
    </row>
    <row r="1193" spans="1:9">
      <c r="A1193">
        <v>260</v>
      </c>
      <c r="B1193">
        <v>49</v>
      </c>
    </row>
    <row r="1194" spans="1:9">
      <c r="A1194">
        <v>261</v>
      </c>
      <c r="B1194">
        <v>49</v>
      </c>
    </row>
    <row r="1195" spans="1:9">
      <c r="A1195">
        <v>262</v>
      </c>
      <c r="B1195">
        <v>49</v>
      </c>
    </row>
    <row r="1196" spans="1:9">
      <c r="A1196">
        <v>263</v>
      </c>
      <c r="B1196">
        <v>49</v>
      </c>
    </row>
    <row r="1197" spans="1:9">
      <c r="A1197">
        <v>264</v>
      </c>
      <c r="B1197">
        <v>49</v>
      </c>
    </row>
    <row r="1198" spans="1:9">
      <c r="A1198">
        <v>265</v>
      </c>
      <c r="B1198">
        <v>49</v>
      </c>
    </row>
    <row r="1199" spans="1:9">
      <c r="A1199">
        <v>266</v>
      </c>
      <c r="B1199">
        <v>49</v>
      </c>
    </row>
    <row r="1200" spans="1:9">
      <c r="A1200">
        <v>267</v>
      </c>
      <c r="B1200">
        <v>49</v>
      </c>
    </row>
    <row r="1201" spans="1:2">
      <c r="A1201">
        <v>268</v>
      </c>
      <c r="B1201">
        <v>49</v>
      </c>
    </row>
    <row r="1202" spans="1:2">
      <c r="A1202">
        <v>269</v>
      </c>
      <c r="B1202">
        <v>49</v>
      </c>
    </row>
    <row r="1203" spans="1:2">
      <c r="A1203">
        <v>270</v>
      </c>
      <c r="B1203">
        <v>49</v>
      </c>
    </row>
    <row r="1204" spans="1:2">
      <c r="A1204">
        <v>271</v>
      </c>
      <c r="B1204">
        <v>49</v>
      </c>
    </row>
    <row r="1205" spans="1:2">
      <c r="A1205">
        <v>272</v>
      </c>
      <c r="B1205">
        <v>49</v>
      </c>
    </row>
    <row r="1206" spans="1:2">
      <c r="A1206">
        <v>273</v>
      </c>
      <c r="B1206">
        <v>49</v>
      </c>
    </row>
    <row r="1207" spans="1:2">
      <c r="A1207">
        <v>274</v>
      </c>
      <c r="B1207">
        <v>49</v>
      </c>
    </row>
    <row r="1208" spans="1:2">
      <c r="A1208">
        <v>275</v>
      </c>
      <c r="B1208">
        <v>49</v>
      </c>
    </row>
    <row r="1209" spans="1:2">
      <c r="A1209">
        <v>276</v>
      </c>
      <c r="B1209">
        <v>49</v>
      </c>
    </row>
    <row r="1210" spans="1:2">
      <c r="A1210">
        <v>277</v>
      </c>
      <c r="B1210">
        <v>49</v>
      </c>
    </row>
    <row r="1211" spans="1:2">
      <c r="A1211">
        <v>278</v>
      </c>
      <c r="B1211">
        <v>49</v>
      </c>
    </row>
    <row r="1212" spans="1:2">
      <c r="A1212">
        <v>279</v>
      </c>
      <c r="B1212">
        <v>49</v>
      </c>
    </row>
    <row r="1213" spans="1:2">
      <c r="A1213">
        <v>280</v>
      </c>
      <c r="B1213">
        <v>49</v>
      </c>
    </row>
    <row r="1214" spans="1:2">
      <c r="A1214">
        <v>281</v>
      </c>
      <c r="B1214">
        <v>49</v>
      </c>
    </row>
    <row r="1215" spans="1:2">
      <c r="A1215">
        <v>282</v>
      </c>
      <c r="B1215">
        <v>49</v>
      </c>
    </row>
    <row r="1216" spans="1:2">
      <c r="A1216">
        <v>283</v>
      </c>
      <c r="B1216">
        <v>49</v>
      </c>
    </row>
    <row r="1217" spans="1:2">
      <c r="A1217">
        <v>239</v>
      </c>
      <c r="B1217">
        <v>48</v>
      </c>
    </row>
    <row r="1218" spans="1:2">
      <c r="A1218">
        <v>240</v>
      </c>
      <c r="B1218">
        <v>48</v>
      </c>
    </row>
    <row r="1219" spans="1:2">
      <c r="A1219">
        <v>241</v>
      </c>
      <c r="B1219">
        <v>48</v>
      </c>
    </row>
    <row r="1220" spans="1:2">
      <c r="A1220">
        <v>242</v>
      </c>
      <c r="B1220">
        <v>48</v>
      </c>
    </row>
    <row r="1221" spans="1:2">
      <c r="A1221">
        <v>243</v>
      </c>
      <c r="B1221">
        <v>48</v>
      </c>
    </row>
    <row r="1222" spans="1:2">
      <c r="A1222">
        <v>244</v>
      </c>
      <c r="B1222">
        <v>48</v>
      </c>
    </row>
    <row r="1223" spans="1:2">
      <c r="A1223">
        <v>245</v>
      </c>
      <c r="B1223">
        <v>48</v>
      </c>
    </row>
    <row r="1224" spans="1:2">
      <c r="A1224">
        <v>246</v>
      </c>
      <c r="B1224">
        <v>48</v>
      </c>
    </row>
    <row r="1225" spans="1:2">
      <c r="A1225">
        <v>247</v>
      </c>
      <c r="B1225">
        <v>48</v>
      </c>
    </row>
    <row r="1226" spans="1:2">
      <c r="A1226">
        <v>248</v>
      </c>
      <c r="B1226">
        <v>48</v>
      </c>
    </row>
    <row r="1227" spans="1:2">
      <c r="A1227">
        <v>249</v>
      </c>
      <c r="B1227">
        <v>48</v>
      </c>
    </row>
    <row r="1228" spans="1:2">
      <c r="A1228">
        <v>250</v>
      </c>
      <c r="B1228">
        <v>48</v>
      </c>
    </row>
    <row r="1229" spans="1:2">
      <c r="A1229">
        <v>251</v>
      </c>
      <c r="B1229">
        <v>48</v>
      </c>
    </row>
    <row r="1230" spans="1:2">
      <c r="A1230">
        <v>252</v>
      </c>
      <c r="B1230">
        <v>48</v>
      </c>
    </row>
    <row r="1231" spans="1:2">
      <c r="A1231">
        <v>253</v>
      </c>
      <c r="B1231">
        <v>48</v>
      </c>
    </row>
    <row r="1232" spans="1:2">
      <c r="A1232">
        <v>254</v>
      </c>
      <c r="B1232">
        <v>48</v>
      </c>
    </row>
    <row r="1233" spans="1:2">
      <c r="A1233">
        <v>255</v>
      </c>
      <c r="B1233">
        <v>48</v>
      </c>
    </row>
    <row r="1234" spans="1:2">
      <c r="A1234">
        <v>256</v>
      </c>
      <c r="B1234">
        <v>48</v>
      </c>
    </row>
    <row r="1235" spans="1:2">
      <c r="A1235">
        <v>257</v>
      </c>
      <c r="B1235">
        <v>48</v>
      </c>
    </row>
    <row r="1236" spans="1:2">
      <c r="A1236">
        <v>258</v>
      </c>
      <c r="B1236">
        <v>48</v>
      </c>
    </row>
    <row r="1237" spans="1:2">
      <c r="A1237">
        <v>259</v>
      </c>
      <c r="B1237">
        <v>48</v>
      </c>
    </row>
    <row r="1238" spans="1:2">
      <c r="A1238">
        <v>260</v>
      </c>
      <c r="B1238">
        <v>48</v>
      </c>
    </row>
    <row r="1239" spans="1:2">
      <c r="A1239">
        <v>261</v>
      </c>
      <c r="B1239">
        <v>48</v>
      </c>
    </row>
    <row r="1240" spans="1:2">
      <c r="A1240">
        <v>262</v>
      </c>
      <c r="B1240">
        <v>48</v>
      </c>
    </row>
    <row r="1241" spans="1:2">
      <c r="A1241">
        <v>263</v>
      </c>
      <c r="B1241">
        <v>48</v>
      </c>
    </row>
    <row r="1242" spans="1:2">
      <c r="A1242">
        <v>264</v>
      </c>
      <c r="B1242">
        <v>48</v>
      </c>
    </row>
    <row r="1243" spans="1:2">
      <c r="A1243">
        <v>265</v>
      </c>
      <c r="B1243">
        <v>48</v>
      </c>
    </row>
    <row r="1244" spans="1:2">
      <c r="A1244">
        <v>266</v>
      </c>
      <c r="B1244">
        <v>48</v>
      </c>
    </row>
    <row r="1245" spans="1:2">
      <c r="A1245">
        <v>267</v>
      </c>
      <c r="B1245">
        <v>48</v>
      </c>
    </row>
    <row r="1246" spans="1:2">
      <c r="A1246">
        <v>268</v>
      </c>
      <c r="B1246">
        <v>48</v>
      </c>
    </row>
    <row r="1247" spans="1:2">
      <c r="A1247">
        <v>269</v>
      </c>
      <c r="B1247">
        <v>48</v>
      </c>
    </row>
    <row r="1248" spans="1:2">
      <c r="A1248">
        <v>270</v>
      </c>
      <c r="B1248">
        <v>48</v>
      </c>
    </row>
    <row r="1249" spans="1:2">
      <c r="A1249">
        <v>271</v>
      </c>
      <c r="B1249">
        <v>48</v>
      </c>
    </row>
    <row r="1250" spans="1:2">
      <c r="A1250">
        <v>272</v>
      </c>
      <c r="B1250">
        <v>48</v>
      </c>
    </row>
    <row r="1251" spans="1:2">
      <c r="A1251">
        <v>273</v>
      </c>
      <c r="B1251">
        <v>48</v>
      </c>
    </row>
    <row r="1252" spans="1:2">
      <c r="A1252">
        <v>274</v>
      </c>
      <c r="B1252">
        <v>48</v>
      </c>
    </row>
    <row r="1253" spans="1:2">
      <c r="A1253">
        <v>275</v>
      </c>
      <c r="B1253">
        <v>48</v>
      </c>
    </row>
    <row r="1254" spans="1:2">
      <c r="A1254">
        <v>276</v>
      </c>
      <c r="B1254">
        <v>48</v>
      </c>
    </row>
    <row r="1255" spans="1:2">
      <c r="A1255">
        <v>277</v>
      </c>
      <c r="B1255">
        <v>48</v>
      </c>
    </row>
    <row r="1256" spans="1:2">
      <c r="A1256">
        <v>278</v>
      </c>
      <c r="B1256">
        <v>48</v>
      </c>
    </row>
    <row r="1257" spans="1:2">
      <c r="A1257">
        <v>279</v>
      </c>
      <c r="B1257">
        <v>48</v>
      </c>
    </row>
    <row r="1258" spans="1:2">
      <c r="A1258">
        <v>280</v>
      </c>
      <c r="B1258">
        <v>48</v>
      </c>
    </row>
    <row r="1259" spans="1:2">
      <c r="A1259">
        <v>281</v>
      </c>
      <c r="B1259">
        <v>48</v>
      </c>
    </row>
    <row r="1260" spans="1:2">
      <c r="A1260">
        <v>282</v>
      </c>
      <c r="B1260">
        <v>48</v>
      </c>
    </row>
    <row r="1261" spans="1:2">
      <c r="A1261">
        <v>283</v>
      </c>
      <c r="B1261">
        <v>48</v>
      </c>
    </row>
    <row r="1262" spans="1:2">
      <c r="A1262">
        <v>239</v>
      </c>
      <c r="B1262">
        <v>47</v>
      </c>
    </row>
    <row r="1263" spans="1:2">
      <c r="A1263">
        <v>240</v>
      </c>
      <c r="B1263">
        <v>47</v>
      </c>
    </row>
    <row r="1264" spans="1:2">
      <c r="A1264">
        <v>241</v>
      </c>
      <c r="B1264">
        <v>47</v>
      </c>
    </row>
    <row r="1265" spans="1:2">
      <c r="A1265">
        <v>242</v>
      </c>
      <c r="B1265">
        <v>47</v>
      </c>
    </row>
    <row r="1266" spans="1:2">
      <c r="A1266">
        <v>243</v>
      </c>
      <c r="B1266">
        <v>47</v>
      </c>
    </row>
    <row r="1267" spans="1:2">
      <c r="A1267">
        <v>244</v>
      </c>
      <c r="B1267">
        <v>47</v>
      </c>
    </row>
    <row r="1268" spans="1:2">
      <c r="A1268">
        <v>245</v>
      </c>
      <c r="B1268">
        <v>47</v>
      </c>
    </row>
    <row r="1269" spans="1:2">
      <c r="A1269">
        <v>246</v>
      </c>
      <c r="B1269">
        <v>47</v>
      </c>
    </row>
    <row r="1270" spans="1:2">
      <c r="A1270">
        <v>247</v>
      </c>
      <c r="B1270">
        <v>47</v>
      </c>
    </row>
    <row r="1271" spans="1:2">
      <c r="A1271">
        <v>248</v>
      </c>
      <c r="B1271">
        <v>47</v>
      </c>
    </row>
    <row r="1272" spans="1:2">
      <c r="A1272">
        <v>249</v>
      </c>
      <c r="B1272">
        <v>47</v>
      </c>
    </row>
    <row r="1273" spans="1:2">
      <c r="A1273">
        <v>250</v>
      </c>
      <c r="B1273">
        <v>47</v>
      </c>
    </row>
    <row r="1274" spans="1:2">
      <c r="A1274">
        <v>251</v>
      </c>
      <c r="B1274">
        <v>47</v>
      </c>
    </row>
    <row r="1275" spans="1:2">
      <c r="A1275">
        <v>252</v>
      </c>
      <c r="B1275">
        <v>47</v>
      </c>
    </row>
    <row r="1276" spans="1:2">
      <c r="A1276">
        <v>253</v>
      </c>
      <c r="B1276">
        <v>47</v>
      </c>
    </row>
    <row r="1277" spans="1:2">
      <c r="A1277">
        <v>254</v>
      </c>
      <c r="B1277">
        <v>47</v>
      </c>
    </row>
    <row r="1278" spans="1:2">
      <c r="A1278">
        <v>255</v>
      </c>
      <c r="B1278">
        <v>47</v>
      </c>
    </row>
    <row r="1279" spans="1:2">
      <c r="A1279">
        <v>256</v>
      </c>
      <c r="B1279">
        <v>47</v>
      </c>
    </row>
    <row r="1280" spans="1:2">
      <c r="A1280">
        <v>257</v>
      </c>
      <c r="B1280">
        <v>47</v>
      </c>
    </row>
    <row r="1281" spans="1:2">
      <c r="A1281">
        <v>258</v>
      </c>
      <c r="B1281">
        <v>47</v>
      </c>
    </row>
    <row r="1282" spans="1:2">
      <c r="A1282">
        <v>259</v>
      </c>
      <c r="B1282">
        <v>47</v>
      </c>
    </row>
    <row r="1283" spans="1:2">
      <c r="A1283">
        <v>260</v>
      </c>
      <c r="B1283">
        <v>47</v>
      </c>
    </row>
    <row r="1284" spans="1:2">
      <c r="A1284">
        <v>261</v>
      </c>
      <c r="B1284">
        <v>47</v>
      </c>
    </row>
    <row r="1285" spans="1:2">
      <c r="A1285">
        <v>262</v>
      </c>
      <c r="B1285">
        <v>47</v>
      </c>
    </row>
    <row r="1286" spans="1:2">
      <c r="A1286">
        <v>263</v>
      </c>
      <c r="B1286">
        <v>47</v>
      </c>
    </row>
    <row r="1287" spans="1:2">
      <c r="A1287">
        <v>264</v>
      </c>
      <c r="B1287">
        <v>47</v>
      </c>
    </row>
    <row r="1288" spans="1:2">
      <c r="A1288">
        <v>265</v>
      </c>
      <c r="B1288">
        <v>47</v>
      </c>
    </row>
    <row r="1289" spans="1:2">
      <c r="A1289">
        <v>266</v>
      </c>
      <c r="B1289">
        <v>47</v>
      </c>
    </row>
    <row r="1290" spans="1:2">
      <c r="A1290">
        <v>267</v>
      </c>
      <c r="B1290">
        <v>47</v>
      </c>
    </row>
    <row r="1291" spans="1:2">
      <c r="A1291">
        <v>268</v>
      </c>
      <c r="B1291">
        <v>47</v>
      </c>
    </row>
    <row r="1292" spans="1:2">
      <c r="A1292">
        <v>269</v>
      </c>
      <c r="B1292">
        <v>47</v>
      </c>
    </row>
    <row r="1293" spans="1:2">
      <c r="A1293">
        <v>270</v>
      </c>
      <c r="B1293">
        <v>47</v>
      </c>
    </row>
    <row r="1294" spans="1:2">
      <c r="A1294">
        <v>271</v>
      </c>
      <c r="B1294">
        <v>47</v>
      </c>
    </row>
    <row r="1295" spans="1:2">
      <c r="A1295">
        <v>272</v>
      </c>
      <c r="B1295">
        <v>47</v>
      </c>
    </row>
    <row r="1296" spans="1:2">
      <c r="A1296">
        <v>273</v>
      </c>
      <c r="B1296">
        <v>47</v>
      </c>
    </row>
    <row r="1297" spans="1:2">
      <c r="A1297">
        <v>274</v>
      </c>
      <c r="B1297">
        <v>47</v>
      </c>
    </row>
    <row r="1298" spans="1:2">
      <c r="A1298">
        <v>275</v>
      </c>
      <c r="B1298">
        <v>47</v>
      </c>
    </row>
    <row r="1299" spans="1:2">
      <c r="A1299">
        <v>276</v>
      </c>
      <c r="B1299">
        <v>47</v>
      </c>
    </row>
    <row r="1300" spans="1:2">
      <c r="A1300">
        <v>277</v>
      </c>
      <c r="B1300">
        <v>47</v>
      </c>
    </row>
    <row r="1301" spans="1:2">
      <c r="A1301">
        <v>278</v>
      </c>
      <c r="B1301">
        <v>47</v>
      </c>
    </row>
    <row r="1302" spans="1:2">
      <c r="A1302">
        <v>279</v>
      </c>
      <c r="B1302">
        <v>47</v>
      </c>
    </row>
    <row r="1303" spans="1:2">
      <c r="A1303">
        <v>280</v>
      </c>
      <c r="B1303">
        <v>47</v>
      </c>
    </row>
    <row r="1304" spans="1:2">
      <c r="A1304">
        <v>281</v>
      </c>
      <c r="B1304">
        <v>47</v>
      </c>
    </row>
    <row r="1305" spans="1:2">
      <c r="A1305">
        <v>282</v>
      </c>
      <c r="B1305">
        <v>47</v>
      </c>
    </row>
    <row r="1306" spans="1:2">
      <c r="A1306">
        <v>283</v>
      </c>
      <c r="B1306">
        <v>47</v>
      </c>
    </row>
    <row r="1307" spans="1:2">
      <c r="A1307">
        <v>239</v>
      </c>
      <c r="B1307">
        <v>46</v>
      </c>
    </row>
    <row r="1308" spans="1:2">
      <c r="A1308">
        <v>240</v>
      </c>
      <c r="B1308">
        <v>46</v>
      </c>
    </row>
    <row r="1309" spans="1:2">
      <c r="A1309">
        <v>241</v>
      </c>
      <c r="B1309">
        <v>46</v>
      </c>
    </row>
    <row r="1310" spans="1:2">
      <c r="A1310">
        <v>242</v>
      </c>
      <c r="B1310">
        <v>46</v>
      </c>
    </row>
    <row r="1311" spans="1:2">
      <c r="A1311">
        <v>243</v>
      </c>
      <c r="B1311">
        <v>46</v>
      </c>
    </row>
    <row r="1312" spans="1:2">
      <c r="A1312">
        <v>244</v>
      </c>
      <c r="B1312">
        <v>46</v>
      </c>
    </row>
    <row r="1313" spans="1:2">
      <c r="A1313">
        <v>245</v>
      </c>
      <c r="B1313">
        <v>46</v>
      </c>
    </row>
    <row r="1314" spans="1:2">
      <c r="A1314">
        <v>246</v>
      </c>
      <c r="B1314">
        <v>46</v>
      </c>
    </row>
    <row r="1315" spans="1:2">
      <c r="A1315">
        <v>247</v>
      </c>
      <c r="B1315">
        <v>46</v>
      </c>
    </row>
    <row r="1316" spans="1:2">
      <c r="A1316">
        <v>248</v>
      </c>
      <c r="B1316">
        <v>46</v>
      </c>
    </row>
    <row r="1317" spans="1:2">
      <c r="A1317">
        <v>249</v>
      </c>
      <c r="B1317">
        <v>46</v>
      </c>
    </row>
    <row r="1318" spans="1:2">
      <c r="A1318">
        <v>250</v>
      </c>
      <c r="B1318">
        <v>46</v>
      </c>
    </row>
    <row r="1319" spans="1:2">
      <c r="A1319">
        <v>251</v>
      </c>
      <c r="B1319">
        <v>46</v>
      </c>
    </row>
    <row r="1320" spans="1:2">
      <c r="A1320">
        <v>252</v>
      </c>
      <c r="B1320">
        <v>46</v>
      </c>
    </row>
    <row r="1321" spans="1:2">
      <c r="A1321">
        <v>253</v>
      </c>
      <c r="B1321">
        <v>46</v>
      </c>
    </row>
    <row r="1322" spans="1:2">
      <c r="A1322">
        <v>254</v>
      </c>
      <c r="B1322">
        <v>46</v>
      </c>
    </row>
    <row r="1323" spans="1:2">
      <c r="A1323">
        <v>255</v>
      </c>
      <c r="B1323">
        <v>46</v>
      </c>
    </row>
    <row r="1324" spans="1:2">
      <c r="A1324">
        <v>256</v>
      </c>
      <c r="B1324">
        <v>46</v>
      </c>
    </row>
    <row r="1325" spans="1:2">
      <c r="A1325">
        <v>257</v>
      </c>
      <c r="B1325">
        <v>46</v>
      </c>
    </row>
    <row r="1326" spans="1:2">
      <c r="A1326">
        <v>258</v>
      </c>
      <c r="B1326">
        <v>46</v>
      </c>
    </row>
    <row r="1327" spans="1:2">
      <c r="A1327">
        <v>259</v>
      </c>
      <c r="B1327">
        <v>46</v>
      </c>
    </row>
    <row r="1328" spans="1:2">
      <c r="A1328">
        <v>260</v>
      </c>
      <c r="B1328">
        <v>46</v>
      </c>
    </row>
    <row r="1329" spans="1:2">
      <c r="A1329">
        <v>261</v>
      </c>
      <c r="B1329">
        <v>46</v>
      </c>
    </row>
    <row r="1330" spans="1:2">
      <c r="A1330">
        <v>262</v>
      </c>
      <c r="B1330">
        <v>46</v>
      </c>
    </row>
    <row r="1331" spans="1:2">
      <c r="A1331">
        <v>263</v>
      </c>
      <c r="B1331">
        <v>46</v>
      </c>
    </row>
    <row r="1332" spans="1:2">
      <c r="A1332">
        <v>264</v>
      </c>
      <c r="B1332">
        <v>46</v>
      </c>
    </row>
    <row r="1333" spans="1:2">
      <c r="A1333">
        <v>265</v>
      </c>
      <c r="B1333">
        <v>46</v>
      </c>
    </row>
    <row r="1334" spans="1:2">
      <c r="A1334">
        <v>266</v>
      </c>
      <c r="B1334">
        <v>46</v>
      </c>
    </row>
    <row r="1335" spans="1:2">
      <c r="A1335">
        <v>267</v>
      </c>
      <c r="B1335">
        <v>46</v>
      </c>
    </row>
    <row r="1336" spans="1:2">
      <c r="A1336">
        <v>268</v>
      </c>
      <c r="B1336">
        <v>46</v>
      </c>
    </row>
    <row r="1337" spans="1:2">
      <c r="A1337">
        <v>269</v>
      </c>
      <c r="B1337">
        <v>46</v>
      </c>
    </row>
    <row r="1338" spans="1:2">
      <c r="A1338">
        <v>270</v>
      </c>
      <c r="B1338">
        <v>46</v>
      </c>
    </row>
    <row r="1339" spans="1:2">
      <c r="A1339">
        <v>271</v>
      </c>
      <c r="B1339">
        <v>46</v>
      </c>
    </row>
    <row r="1340" spans="1:2">
      <c r="A1340">
        <v>272</v>
      </c>
      <c r="B1340">
        <v>46</v>
      </c>
    </row>
    <row r="1341" spans="1:2">
      <c r="A1341">
        <v>273</v>
      </c>
      <c r="B1341">
        <v>46</v>
      </c>
    </row>
    <row r="1342" spans="1:2">
      <c r="A1342">
        <v>274</v>
      </c>
      <c r="B1342">
        <v>46</v>
      </c>
    </row>
    <row r="1343" spans="1:2">
      <c r="A1343">
        <v>275</v>
      </c>
      <c r="B1343">
        <v>46</v>
      </c>
    </row>
    <row r="1344" spans="1:2">
      <c r="A1344">
        <v>276</v>
      </c>
      <c r="B1344">
        <v>46</v>
      </c>
    </row>
    <row r="1345" spans="1:2">
      <c r="A1345">
        <v>277</v>
      </c>
      <c r="B1345">
        <v>46</v>
      </c>
    </row>
    <row r="1346" spans="1:2">
      <c r="A1346">
        <v>278</v>
      </c>
      <c r="B1346">
        <v>46</v>
      </c>
    </row>
    <row r="1347" spans="1:2">
      <c r="A1347">
        <v>279</v>
      </c>
      <c r="B1347">
        <v>46</v>
      </c>
    </row>
    <row r="1348" spans="1:2">
      <c r="A1348">
        <v>280</v>
      </c>
      <c r="B1348">
        <v>46</v>
      </c>
    </row>
    <row r="1349" spans="1:2">
      <c r="A1349">
        <v>281</v>
      </c>
      <c r="B1349">
        <v>46</v>
      </c>
    </row>
    <row r="1350" spans="1:2">
      <c r="A1350">
        <v>282</v>
      </c>
      <c r="B1350">
        <v>46</v>
      </c>
    </row>
    <row r="1351" spans="1:2">
      <c r="A1351">
        <v>283</v>
      </c>
      <c r="B1351">
        <v>46</v>
      </c>
    </row>
  </sheetData>
  <autoFilter ref="C1:I135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43"/>
      <c r="B1" s="343"/>
      <c r="C1" s="344"/>
      <c r="D1" s="348" t="s">
        <v>130</v>
      </c>
      <c r="E1" s="349"/>
      <c r="F1" s="349"/>
      <c r="G1" s="350"/>
      <c r="H1" s="369" t="s">
        <v>132</v>
      </c>
      <c r="I1" s="370"/>
      <c r="J1" s="370"/>
      <c r="K1" s="370"/>
      <c r="L1" s="371"/>
    </row>
    <row r="2" spans="1:12" ht="15.75" thickBot="1">
      <c r="A2" s="2" t="s">
        <v>13</v>
      </c>
      <c r="B2" s="23" t="s">
        <v>14</v>
      </c>
      <c r="C2" s="98" t="s">
        <v>70</v>
      </c>
      <c r="D2" s="351" t="s">
        <v>131</v>
      </c>
      <c r="E2" s="352"/>
      <c r="F2" s="352"/>
      <c r="G2" s="353"/>
      <c r="H2" s="375" t="s">
        <v>131</v>
      </c>
      <c r="I2" s="376"/>
      <c r="J2" s="376"/>
      <c r="K2" s="376"/>
      <c r="L2" s="377"/>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2009-08-01T07:59:45Z</dcterms:modified>
</cp:coreProperties>
</file>